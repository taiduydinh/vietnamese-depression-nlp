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cgacjp-my.sharepoint.com/personal/t_dinh_kcg_edu/Documents/Downloads/"/>
    </mc:Choice>
  </mc:AlternateContent>
  <xr:revisionPtr revIDLastSave="2" documentId="11_D7341EC8309261B14250923AFAFDF756E38AC4C4" xr6:coauthVersionLast="47" xr6:coauthVersionMax="47" xr10:uidLastSave="{389F0E9B-1137-463E-8939-BC6048AB95BF}"/>
  <bookViews>
    <workbookView xWindow="-120" yWindow="-120" windowWidth="29040" windowHeight="15720" firstSheet="6" activeTab="10" xr2:uid="{00000000-000D-0000-FFFF-FFFF00000000}"/>
  </bookViews>
  <sheets>
    <sheet name="START HERE" sheetId="1" r:id="rId1"/>
    <sheet name="THEME FREQUENCIES" sheetId="2" r:id="rId2"/>
    <sheet name="LDA KEY COMPARISONS" sheetId="3" r:id="rId3"/>
    <sheet name="LDA FULL MATRIX" sheetId="4" r:id="rId4"/>
    <sheet name="LDA WITHIN-TOPIC RATES" sheetId="5" r:id="rId5"/>
    <sheet name="GPT KEY COMPARISONS" sheetId="6" r:id="rId6"/>
    <sheet name="GPT FULL MATRIX" sheetId="7" r:id="rId7"/>
    <sheet name="231 DOCUMENT LINKAGE" sheetId="8" r:id="rId8"/>
    <sheet name="210 GPT ANNOTATIONS" sheetId="9" r:id="rId9"/>
    <sheet name="14 EXCLUDED TEXTS" sheetId="10" r:id="rId10"/>
    <sheet name="METHODS AND CAVEA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6" l="1"/>
  <c r="H4" i="6"/>
  <c r="I3" i="6"/>
  <c r="H3" i="6"/>
  <c r="I2" i="6"/>
  <c r="H2" i="6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H3" i="5"/>
  <c r="G3" i="5"/>
  <c r="F3" i="5"/>
  <c r="E3" i="5"/>
  <c r="D3" i="5"/>
  <c r="C3" i="5"/>
  <c r="B3" i="5"/>
  <c r="H2" i="5"/>
  <c r="G2" i="5"/>
  <c r="F2" i="5"/>
  <c r="E2" i="5"/>
  <c r="D2" i="5"/>
  <c r="C2" i="5"/>
  <c r="B2" i="5"/>
  <c r="H10" i="3"/>
  <c r="G10" i="3"/>
  <c r="I10" i="3" s="1"/>
  <c r="H9" i="3"/>
  <c r="G9" i="3"/>
  <c r="I9" i="3" s="1"/>
  <c r="H8" i="3"/>
  <c r="G8" i="3"/>
  <c r="I8" i="3" s="1"/>
  <c r="H7" i="3"/>
  <c r="G7" i="3"/>
  <c r="I7" i="3" s="1"/>
  <c r="H6" i="3"/>
  <c r="G6" i="3"/>
  <c r="I6" i="3" s="1"/>
  <c r="H5" i="3"/>
  <c r="G5" i="3"/>
  <c r="I5" i="3" s="1"/>
  <c r="H4" i="3"/>
  <c r="G4" i="3"/>
  <c r="I4" i="3" s="1"/>
  <c r="H3" i="3"/>
  <c r="G3" i="3"/>
  <c r="I3" i="3" s="1"/>
  <c r="H2" i="3"/>
  <c r="G2" i="3"/>
  <c r="I2" i="3" s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<sst xmlns="http://schemas.openxmlformats.org/spreadsheetml/2006/main" count="3168" uniqueCount="532">
  <si>
    <t>Item</t>
  </si>
  <si>
    <t>Updated assessment</t>
  </si>
  <si>
    <t>Project</t>
  </si>
  <si>
    <t>Vietnamese depression-related language — updated descriptive mixed-methods triangulation</t>
  </si>
  <si>
    <t>Core MAXQDA source</t>
  </si>
  <si>
    <t>Vietnamese_Depression_Label1_231_Texts_15_Codes_Reviewed_Baseline.qdpx</t>
  </si>
  <si>
    <t>Export used for cross-check</t>
  </si>
  <si>
    <t>maxqda_export.xlsx and underlying 245-document source linkage</t>
  </si>
  <si>
    <t>Codebook provenance</t>
  </si>
  <si>
    <t>Human-developed codebook per corresponding researcher confirmation</t>
  </si>
  <si>
    <t>Coding provenance</t>
  </si>
  <si>
    <t>AI-assisted initial placement, revised, subsequently validated by researcher (user-reported). QDPX still contains original AI-assistance metadata.</t>
  </si>
  <si>
    <t>Retained Label 1 documents</t>
  </si>
  <si>
    <t>Original purposive sample</t>
  </si>
  <si>
    <t>Post hoc exclusions (uncoded)</t>
  </si>
  <si>
    <t>Retained thematic codes</t>
  </si>
  <si>
    <t>Coded passages</t>
  </si>
  <si>
    <t>LDA-dominant-topic coverage</t>
  </si>
  <si>
    <t>GPT-covered unique documents</t>
  </si>
  <si>
    <t>GPT primary-theme annotation records</t>
  </si>
  <si>
    <t>One GPT annotation (texts)</t>
  </si>
  <si>
    <t>Two GPT annotations (texts)</t>
  </si>
  <si>
    <t>No GPT annotation (texts)</t>
  </si>
  <si>
    <t>Important denominator change</t>
  </si>
  <si>
    <t>Excluding 14 texts without MAXQDA codes does not change any MAXQDA–LDA/GPT overlap numerator; it changes topic denominators.</t>
  </si>
  <si>
    <t>Warning: study design</t>
  </si>
  <si>
    <t>The 231-text analysis is a post-exclusion subset of an original 245-text purposive sample. Report exclusion criteria transparently and consider original-sample sensitivity analysis.</t>
  </si>
  <si>
    <t>Scope</t>
  </si>
  <si>
    <t>Descriptive thematic co-occurrence / overlap only; neither diagnosis nor accuracy/independent agreement.</t>
  </si>
  <si>
    <t>LDA unit</t>
  </si>
  <si>
    <t>Unique texts, one dominant LDA topic per text; multiple MAXQDA codes may appear within a text.</t>
  </si>
  <si>
    <t>GPT unit</t>
  </si>
  <si>
    <t>Annotation records from D1/D2, 210 total from 182 unique texts; same text can contribute twice.</t>
  </si>
  <si>
    <t>Data integrity</t>
  </si>
  <si>
    <t>231/231 internal text files match source; 523 coding links have valid spans and match the MAXQDA export.</t>
  </si>
  <si>
    <t>MAXQDA thematic code</t>
  </si>
  <si>
    <t>Coded documents</t>
  </si>
  <si>
    <t>Share of retained 231 texts</t>
  </si>
  <si>
    <t>Emotional Distress</t>
  </si>
  <si>
    <t>Negative Self-Perception</t>
  </si>
  <si>
    <t>Hopelessness &amp; Loss of Interest</t>
  </si>
  <si>
    <t>Relationships &amp; Isolation</t>
  </si>
  <si>
    <t>Family &amp; Parenting</t>
  </si>
  <si>
    <t>Work, Study &amp; Financial Stress</t>
  </si>
  <si>
    <t>Sleep &amp; Physical Difficulties</t>
  </si>
  <si>
    <t>Anxiety &amp; Fear</t>
  </si>
  <si>
    <t>Treatment &amp; Medication</t>
  </si>
  <si>
    <t>Help-Seeking, Coping &amp; Support</t>
  </si>
  <si>
    <t>Alcohol &amp; Substance Use</t>
  </si>
  <si>
    <t>Self-Harm &amp; Suicidal Thoughts</t>
  </si>
  <si>
    <t>Recovery &amp; Resilience</t>
  </si>
  <si>
    <t>Public Discussion of Depression</t>
  </si>
  <si>
    <t>Casual or Figurative Depression Language</t>
  </si>
  <si>
    <t>LDA topic</t>
  </si>
  <si>
    <t>Topic description</t>
  </si>
  <si>
    <t>Original topic n</t>
  </si>
  <si>
    <t>Retained topic n</t>
  </si>
  <si>
    <t>Related MAXQDA theme</t>
  </si>
  <si>
    <t>Coded texts</t>
  </si>
  <si>
    <t>Overlap / 231 subset</t>
  </si>
  <si>
    <t>Overlap / original 245 subset</t>
  </si>
  <si>
    <t>Change (percentage points)</t>
  </si>
  <si>
    <t>Interpretive caveat</t>
  </si>
  <si>
    <t>LDA 1</t>
  </si>
  <si>
    <t>Medication and Psychiatric Treatment Management</t>
  </si>
  <si>
    <t>Related category; overlap, not a one-to-one agreement score</t>
  </si>
  <si>
    <t>LDA 2</t>
  </si>
  <si>
    <t>Anxiety, Panic, and Somatic Symptoms</t>
  </si>
  <si>
    <t>LDA 3</t>
  </si>
  <si>
    <t>Psychosocial Stressors and Functional Impairment</t>
  </si>
  <si>
    <t>LDA 4</t>
  </si>
  <si>
    <t>Event-Specific Public Discourse</t>
  </si>
  <si>
    <t>LDA 5</t>
  </si>
  <si>
    <t>Help-Seeking, Mental-Health Information, and Community Support</t>
  </si>
  <si>
    <t>LDA 6</t>
  </si>
  <si>
    <t>Event-Specific Social-Media Commentary and Depression Trivialization</t>
  </si>
  <si>
    <t>LDA 7</t>
  </si>
  <si>
    <t>Severe Depressive Distress, Hopelessness, and Suicidality</t>
  </si>
  <si>
    <t>MAXQDA theme</t>
  </si>
  <si>
    <t>T1 (n=30)</t>
  </si>
  <si>
    <t>T2 (n=35)</t>
  </si>
  <si>
    <t>T3 (n=44)</t>
  </si>
  <si>
    <t>T4 (n=10)</t>
  </si>
  <si>
    <t>T5 (n=36)</t>
  </si>
  <si>
    <t>T6 (n=29)</t>
  </si>
  <si>
    <t>T7 (n=47)</t>
  </si>
  <si>
    <t>Total segments</t>
  </si>
  <si>
    <t>T1 (%)</t>
  </si>
  <si>
    <t>T2 (%)</t>
  </si>
  <si>
    <t>T3 (%)</t>
  </si>
  <si>
    <t>T4 (%)</t>
  </si>
  <si>
    <t>T5 (%)</t>
  </si>
  <si>
    <t>T6 (%)</t>
  </si>
  <si>
    <t>T7 (%)</t>
  </si>
  <si>
    <t>GPT topic ID</t>
  </si>
  <si>
    <t>GPT primary theme</t>
  </si>
  <si>
    <t>Original records</t>
  </si>
  <si>
    <t>Retained records</t>
  </si>
  <si>
    <t>Unique retained texts</t>
  </si>
  <si>
    <t>Related MAXQDA code</t>
  </si>
  <si>
    <t>Matching records</t>
  </si>
  <si>
    <t>Record-level overlap</t>
  </si>
  <si>
    <t>Original-record sensitivity</t>
  </si>
  <si>
    <t>Public-discussion coded records</t>
  </si>
  <si>
    <t>T08</t>
  </si>
  <si>
    <t>Treatment, therapy, and medication</t>
  </si>
  <si>
    <t>T11</t>
  </si>
  <si>
    <t>Self-harm and suicidality</t>
  </si>
  <si>
    <t>T06</t>
  </si>
  <si>
    <t>Work, study, and financial/livelihood pressures</t>
  </si>
  <si>
    <t>Unique texts</t>
  </si>
  <si>
    <t>T00</t>
  </si>
  <si>
    <t>Other/unclear</t>
  </si>
  <si>
    <t>T01</t>
  </si>
  <si>
    <t>Emotions and feelings</t>
  </si>
  <si>
    <t>T02</t>
  </si>
  <si>
    <t>Self-perception and cognitive patterns</t>
  </si>
  <si>
    <t>T03</t>
  </si>
  <si>
    <t>Motivation, hope/hopelessness, and purpose</t>
  </si>
  <si>
    <t>T04</t>
  </si>
  <si>
    <t>Relationships and social connection</t>
  </si>
  <si>
    <t>T05</t>
  </si>
  <si>
    <t>Family and parenting</t>
  </si>
  <si>
    <t>T07</t>
  </si>
  <si>
    <t>Daily functioning, sleep, and physical/vegetative state</t>
  </si>
  <si>
    <t>T09</t>
  </si>
  <si>
    <t>Help-seeking, coping, social support, and recovery</t>
  </si>
  <si>
    <t>T10</t>
  </si>
  <si>
    <t>Alcohol and substance use</t>
  </si>
  <si>
    <t>T12</t>
  </si>
  <si>
    <t>General conversation, community, and leisure</t>
  </si>
  <si>
    <t>QDA ID</t>
  </si>
  <si>
    <t>Sampling stratum</t>
  </si>
  <si>
    <t>Dominant LDA</t>
  </si>
  <si>
    <t>Dominant LDA label</t>
  </si>
  <si>
    <t>Dominant prob.</t>
  </si>
  <si>
    <t>MAXQDA code count</t>
  </si>
  <si>
    <t>MAXQDA codes</t>
  </si>
  <si>
    <t>GPT annotation count</t>
  </si>
  <si>
    <t>GPT D1 theme</t>
  </si>
  <si>
    <t>GPT D2 theme</t>
  </si>
  <si>
    <t>QDA-001</t>
  </si>
  <si>
    <t>Ambiguous LDA</t>
  </si>
  <si>
    <t>Alcohol &amp; Substance Use; Anxiety &amp; Fear; Recovery &amp; Resilience; Self-Harm &amp; Suicidal Thoughts; Treatment &amp; Medication</t>
  </si>
  <si>
    <t>QDA-002</t>
  </si>
  <si>
    <t>QDA-003</t>
  </si>
  <si>
    <t>QDA-004</t>
  </si>
  <si>
    <t>QDA-005</t>
  </si>
  <si>
    <t>QDA-006</t>
  </si>
  <si>
    <t>GPT-covered</t>
  </si>
  <si>
    <t>QDA-007</t>
  </si>
  <si>
    <t>QDA-008</t>
  </si>
  <si>
    <t>Help-Seeking, Coping &amp; Support; Self-Harm &amp; Suicidal Thoughts; Treatment &amp; Medication</t>
  </si>
  <si>
    <t>QDA-009</t>
  </si>
  <si>
    <t>Sleep &amp; Physical Difficulties; Treatment &amp; Medication</t>
  </si>
  <si>
    <t>QDA-010</t>
  </si>
  <si>
    <t>QDA-011</t>
  </si>
  <si>
    <t>Anxiety &amp; Fear; Treatment &amp; Medication</t>
  </si>
  <si>
    <t>QDA-012</t>
  </si>
  <si>
    <t>Non-GPT fill</t>
  </si>
  <si>
    <t>QDA-013</t>
  </si>
  <si>
    <t>QDA-014</t>
  </si>
  <si>
    <t>QDA-015</t>
  </si>
  <si>
    <t>Anxiety &amp; Fear; Help-Seeking, Coping &amp; Support; Treatment &amp; Medication</t>
  </si>
  <si>
    <t>QDA-016</t>
  </si>
  <si>
    <t>QDA-017</t>
  </si>
  <si>
    <t>Help-Seeking, Coping &amp; Support; Treatment &amp; Medication</t>
  </si>
  <si>
    <t>QDA-018</t>
  </si>
  <si>
    <t>Anxiety &amp; Fear; Sleep &amp; Physical Difficulties; Treatment &amp; Medication</t>
  </si>
  <si>
    <t>QDA-020</t>
  </si>
  <si>
    <t>QDA-021</t>
  </si>
  <si>
    <t>QDA-022</t>
  </si>
  <si>
    <t>Relationships &amp; Isolation; Treatment &amp; Medication</t>
  </si>
  <si>
    <t>QDA-023</t>
  </si>
  <si>
    <t>QDA-024</t>
  </si>
  <si>
    <t>Anxiety &amp; Fear; Emotional Distress; Family &amp; Parenting; Treatment &amp; Medication; Work, Study &amp; Financial Stress</t>
  </si>
  <si>
    <t>QDA-025</t>
  </si>
  <si>
    <t>QDA-026</t>
  </si>
  <si>
    <t>QDA-027</t>
  </si>
  <si>
    <t>Representative</t>
  </si>
  <si>
    <t>Anxiety &amp; Fear; Emotional Distress; Self-Harm &amp; Suicidal Thoughts; Sleep &amp; Physical Difficulties; Treatment &amp; Medication</t>
  </si>
  <si>
    <t>QDA-028</t>
  </si>
  <si>
    <t>Alcohol &amp; Substance Use; Sleep &amp; Physical Difficulties; Treatment &amp; Medication</t>
  </si>
  <si>
    <t>QDA-029</t>
  </si>
  <si>
    <t>QDA-030</t>
  </si>
  <si>
    <t>QDA-031</t>
  </si>
  <si>
    <t>QDA-032</t>
  </si>
  <si>
    <t>QDA-033</t>
  </si>
  <si>
    <t>QDA-034</t>
  </si>
  <si>
    <t>Anxiety &amp; Fear; Hopelessness &amp; Loss of Interest; Treatment &amp; Medication</t>
  </si>
  <si>
    <t>QDA-035</t>
  </si>
  <si>
    <t>QDA-036</t>
  </si>
  <si>
    <t>Anxiety &amp; Fear; Self-Harm &amp; Suicidal Thoughts; Sleep &amp; Physical Difficulties</t>
  </si>
  <si>
    <t>QDA-037</t>
  </si>
  <si>
    <t>Alcohol &amp; Substance Use; Anxiety &amp; Fear; Sleep &amp; Physical Difficulties; Treatment &amp; Medication</t>
  </si>
  <si>
    <t>QDA-038</t>
  </si>
  <si>
    <t>Anxiety &amp; Fear; Sleep &amp; Physical Difficulties; Work, Study &amp; Financial Stress</t>
  </si>
  <si>
    <t>QDA-040</t>
  </si>
  <si>
    <t>Anxiety &amp; Fear; Help-Seeking, Coping &amp; Support</t>
  </si>
  <si>
    <t>QDA-041</t>
  </si>
  <si>
    <t>Anxiety &amp; Fear; Sleep &amp; Physical Difficulties</t>
  </si>
  <si>
    <t>QDA-042</t>
  </si>
  <si>
    <t>Anxiety &amp; Fear; Sleep &amp; Physical Difficulties; Treatment &amp; Medication; Work, Study &amp; Financial Stress</t>
  </si>
  <si>
    <t>QDA-043</t>
  </si>
  <si>
    <t>Anxiety &amp; Fear; Relationships &amp; Isolation; Sleep &amp; Physical Difficulties</t>
  </si>
  <si>
    <t>QDA-044</t>
  </si>
  <si>
    <t>Anxiety &amp; Fear; Recovery &amp; Resilience; Sleep &amp; Physical Difficulties; Treatment &amp; Medication</t>
  </si>
  <si>
    <t>QDA-045</t>
  </si>
  <si>
    <t>QDA-046</t>
  </si>
  <si>
    <t>QDA-047</t>
  </si>
  <si>
    <t>Anxiety &amp; Fear; Help-Seeking, Coping &amp; Support; Sleep &amp; Physical Difficulties; Treatment &amp; Medication</t>
  </si>
  <si>
    <t>QDA-048</t>
  </si>
  <si>
    <t>Anxiety &amp; Fear; Help-Seeking, Coping &amp; Support; Recovery &amp; Resilience; Sleep &amp; Physical Difficulties; Work, Study &amp; Financial Stress</t>
  </si>
  <si>
    <t>QDA-049</t>
  </si>
  <si>
    <t>QDA-050</t>
  </si>
  <si>
    <t>QDA-051</t>
  </si>
  <si>
    <t>QDA-052</t>
  </si>
  <si>
    <t>QDA-053</t>
  </si>
  <si>
    <t>QDA-054</t>
  </si>
  <si>
    <t>Anxiety &amp; Fear; Help-Seeking, Coping &amp; Support; Relationships &amp; Isolation; Sleep &amp; Physical Difficulties; Treatment &amp; Medication</t>
  </si>
  <si>
    <t>QDA-055</t>
  </si>
  <si>
    <t>Emotional Distress; Negative Self-Perception; Sleep &amp; Physical Difficulties; Work, Study &amp; Financial Stress</t>
  </si>
  <si>
    <t>QDA-056</t>
  </si>
  <si>
    <t>QDA-057</t>
  </si>
  <si>
    <t>Anxiety &amp; Fear; Family &amp; Parenting; Help-Seeking, Coping &amp; Support; Sleep &amp; Physical Difficulties; Treatment &amp; Medication</t>
  </si>
  <si>
    <t>QDA-058</t>
  </si>
  <si>
    <t>QDA-060</t>
  </si>
  <si>
    <t>QDA-062</t>
  </si>
  <si>
    <t>QDA-063</t>
  </si>
  <si>
    <t>QDA-065</t>
  </si>
  <si>
    <t>QDA-066</t>
  </si>
  <si>
    <t>QDA-067</t>
  </si>
  <si>
    <t>Alcohol &amp; Substance Use; Anxiety &amp; Fear; Emotional Distress; Sleep &amp; Physical Difficulties; Treatment &amp; Medication</t>
  </si>
  <si>
    <t>QDA-068</t>
  </si>
  <si>
    <t>QDA-069</t>
  </si>
  <si>
    <t>Anxiety &amp; Fear; Emotional Distress; Sleep &amp; Physical Difficulties</t>
  </si>
  <si>
    <t>QDA-070</t>
  </si>
  <si>
    <t>QDA-072</t>
  </si>
  <si>
    <t>Anxiety &amp; Fear; Help-Seeking, Coping &amp; Support; Self-Harm &amp; Suicidal Thoughts; Treatment &amp; Medication</t>
  </si>
  <si>
    <t>QDA-073</t>
  </si>
  <si>
    <t>QDA-074</t>
  </si>
  <si>
    <t>Anxiety &amp; Fear; Recovery &amp; Resilience; Self-Harm &amp; Suicidal Thoughts; Work, Study &amp; Financial Stress</t>
  </si>
  <si>
    <t>QDA-075</t>
  </si>
  <si>
    <t>QDA-076</t>
  </si>
  <si>
    <t>Alcohol &amp; Substance Use; Anxiety &amp; Fear; Relationships &amp; Isolation; Treatment &amp; Medication</t>
  </si>
  <si>
    <t>QDA-077</t>
  </si>
  <si>
    <t>GPT dual disagreement</t>
  </si>
  <si>
    <t>QDA-078</t>
  </si>
  <si>
    <t>Alcohol &amp; Substance Use; Anxiety &amp; Fear; Relationships &amp; Isolation; Sleep &amp; Physical Difficulties; Treatment &amp; Medication</t>
  </si>
  <si>
    <t>QDA-079</t>
  </si>
  <si>
    <t>Anxiety &amp; Fear; Emotional Distress; Family &amp; Parenting; Relationships &amp; Isolation; Sleep &amp; Physical Difficulties</t>
  </si>
  <si>
    <t>QDA-080</t>
  </si>
  <si>
    <t>Anxiety &amp; Fear; Family &amp; Parenting; Relationships &amp; Isolation; Self-Harm &amp; Suicidal Thoughts; Work, Study &amp; Financial Stress</t>
  </si>
  <si>
    <t>QDA-081</t>
  </si>
  <si>
    <t>Anxiety &amp; Fear; Help-Seeking, Coping &amp; Support; Recovery &amp; Resilience; Treatment &amp; Medication; Work, Study &amp; Financial Stress</t>
  </si>
  <si>
    <t>QDA-082</t>
  </si>
  <si>
    <t>QDA-083</t>
  </si>
  <si>
    <t>Anxiety &amp; Fear; Family &amp; Parenting; Relationships &amp; Isolation; Sleep &amp; Physical Difficulties</t>
  </si>
  <si>
    <t>QDA-084</t>
  </si>
  <si>
    <t>QDA-085</t>
  </si>
  <si>
    <t>Anxiety &amp; Fear; Emotional Distress; Family &amp; Parenting; Relationships &amp; Isolation</t>
  </si>
  <si>
    <t>QDA-086</t>
  </si>
  <si>
    <t>Emotional Distress; Negative Self-Perception; Relationships &amp; Isolation; Self-Harm &amp; Suicidal Thoughts; Work, Study &amp; Financial Stress</t>
  </si>
  <si>
    <t>QDA-087</t>
  </si>
  <si>
    <t>QDA-088</t>
  </si>
  <si>
    <t>QDA-089</t>
  </si>
  <si>
    <t>Emotional Distress; Help-Seeking, Coping &amp; Support; Negative Self-Perception; Work, Study &amp; Financial Stress</t>
  </si>
  <si>
    <t>QDA-091</t>
  </si>
  <si>
    <t>QDA-092</t>
  </si>
  <si>
    <t>QDA-093</t>
  </si>
  <si>
    <t>QDA-094</t>
  </si>
  <si>
    <t>Anxiety &amp; Fear; Emotional Distress; Family &amp; Parenting; Self-Harm &amp; Suicidal Thoughts</t>
  </si>
  <si>
    <t>QDA-095</t>
  </si>
  <si>
    <t>Anxiety &amp; Fear; Family &amp; Parenting; Self-Harm &amp; Suicidal Thoughts; Work, Study &amp; Financial Stress</t>
  </si>
  <si>
    <t>QDA-096</t>
  </si>
  <si>
    <t>Anxiety &amp; Fear; Negative Self-Perception; Work, Study &amp; Financial Stress</t>
  </si>
  <si>
    <t>QDA-097</t>
  </si>
  <si>
    <t>Emotional Distress; Relationships &amp; Isolation; Self-Harm &amp; Suicidal Thoughts; Sleep &amp; Physical Difficulties; Work, Study &amp; Financial Stress</t>
  </si>
  <si>
    <t>QDA-098</t>
  </si>
  <si>
    <t>Anxiety &amp; Fear; Family &amp; Parenting; Work, Study &amp; Financial Stress</t>
  </si>
  <si>
    <t>QDA-099</t>
  </si>
  <si>
    <t>QDA-100</t>
  </si>
  <si>
    <t>Anxiety &amp; Fear; Work, Study &amp; Financial Stress</t>
  </si>
  <si>
    <t>QDA-101</t>
  </si>
  <si>
    <t>Anxiety &amp; Fear; Emotional Distress; Family &amp; Parenting; Self-Harm &amp; Suicidal Thoughts; Work, Study &amp; Financial Stress</t>
  </si>
  <si>
    <t>QDA-102</t>
  </si>
  <si>
    <t>QDA-103</t>
  </si>
  <si>
    <t>QDA-104</t>
  </si>
  <si>
    <t>Alcohol &amp; Substance Use; Emotional Distress; Family &amp; Parenting</t>
  </si>
  <si>
    <t>QDA-105</t>
  </si>
  <si>
    <t>QDA-106</t>
  </si>
  <si>
    <t>Anxiety &amp; Fear; Emotional Distress; Self-Harm &amp; Suicidal Thoughts; Work, Study &amp; Financial Stress</t>
  </si>
  <si>
    <t>QDA-107</t>
  </si>
  <si>
    <t>QDA-108</t>
  </si>
  <si>
    <t>Anxiety &amp; Fear; Family &amp; Parenting; Help-Seeking, Coping &amp; Support; Work, Study &amp; Financial Stress</t>
  </si>
  <si>
    <t>QDA-109</t>
  </si>
  <si>
    <t>QDA-110</t>
  </si>
  <si>
    <t>QDA-111</t>
  </si>
  <si>
    <t>Self-Harm &amp; Suicidal Thoughts; Treatment &amp; Medication</t>
  </si>
  <si>
    <t>QDA-112</t>
  </si>
  <si>
    <t>Emotional Distress; Family &amp; Parenting; Hopelessness &amp; Loss of Interest; Sleep &amp; Physical Difficulties; Work, Study &amp; Financial Stress</t>
  </si>
  <si>
    <t>QDA-113</t>
  </si>
  <si>
    <t>Emotional Distress; Family &amp; Parenting; Help-Seeking, Coping &amp; Support; Negative Self-Perception; Work, Study &amp; Financial Stress</t>
  </si>
  <si>
    <t>QDA-114</t>
  </si>
  <si>
    <t>Family &amp; Parenting; Help-Seeking, Coping &amp; Support; Self-Harm &amp; Suicidal Thoughts; Work, Study &amp; Financial Stress</t>
  </si>
  <si>
    <t>QDA-115</t>
  </si>
  <si>
    <t>Family &amp; Parenting; Hopelessness &amp; Loss of Interest; Work, Study &amp; Financial Stress</t>
  </si>
  <si>
    <t>QDA-116</t>
  </si>
  <si>
    <t>Family &amp; Parenting; Self-Harm &amp; Suicidal Thoughts; Work, Study &amp; Financial Stress</t>
  </si>
  <si>
    <t>QDA-117</t>
  </si>
  <si>
    <t>QDA-118</t>
  </si>
  <si>
    <t>QDA-119</t>
  </si>
  <si>
    <t>QDA-120</t>
  </si>
  <si>
    <t>QDA-121</t>
  </si>
  <si>
    <t>QDA-122</t>
  </si>
  <si>
    <t>QDA-123</t>
  </si>
  <si>
    <t>QDA-124</t>
  </si>
  <si>
    <t>QDA-125</t>
  </si>
  <si>
    <t>QDA-126</t>
  </si>
  <si>
    <t>QDA-127</t>
  </si>
  <si>
    <t>Anxiety &amp; Fear; Negative Self-Perception; Relationships &amp; Isolation; Self-Harm &amp; Suicidal Thoughts</t>
  </si>
  <si>
    <t>QDA-128</t>
  </si>
  <si>
    <t>Help-Seeking, Coping &amp; Support; Relationships &amp; Isolation; Self-Harm &amp; Suicidal Thoughts; Treatment &amp; Medication</t>
  </si>
  <si>
    <t>QDA-129</t>
  </si>
  <si>
    <t>Anxiety &amp; Fear; Recovery &amp; Resilience</t>
  </si>
  <si>
    <t>QDA-130</t>
  </si>
  <si>
    <t>QDA-131</t>
  </si>
  <si>
    <t>QDA-132</t>
  </si>
  <si>
    <t>QDA-133</t>
  </si>
  <si>
    <t>QDA-134</t>
  </si>
  <si>
    <t>Anxiety &amp; Fear; Family &amp; Parenting; Help-Seeking, Coping &amp; Support; Relationships &amp; Isolation</t>
  </si>
  <si>
    <t>QDA-135</t>
  </si>
  <si>
    <t>QDA-137</t>
  </si>
  <si>
    <t>QDA-138</t>
  </si>
  <si>
    <t>QDA-140</t>
  </si>
  <si>
    <t>QDA-141</t>
  </si>
  <si>
    <t>QDA-142</t>
  </si>
  <si>
    <t>QDA-143</t>
  </si>
  <si>
    <t>Alcohol &amp; Substance Use; Anxiety &amp; Fear; Treatment &amp; Medication</t>
  </si>
  <si>
    <t>QDA-144</t>
  </si>
  <si>
    <t>QDA-145</t>
  </si>
  <si>
    <t>QDA-146</t>
  </si>
  <si>
    <t>Anxiety &amp; Fear; Family &amp; Parenting; Help-Seeking, Coping &amp; Support; Recovery &amp; Resilience</t>
  </si>
  <si>
    <t>QDA-147</t>
  </si>
  <si>
    <t>Family &amp; Parenting; Sleep &amp; Physical Difficulties</t>
  </si>
  <si>
    <t>QDA-148</t>
  </si>
  <si>
    <t>Anxiety &amp; Fear; Family &amp; Parenting</t>
  </si>
  <si>
    <t>QDA-150</t>
  </si>
  <si>
    <t>QDA-151</t>
  </si>
  <si>
    <t>QDA-152</t>
  </si>
  <si>
    <t>Alcohol &amp; Substance Use; Anxiety &amp; Fear; Public Discussion of Depression</t>
  </si>
  <si>
    <t>QDA-153</t>
  </si>
  <si>
    <t>QDA-154</t>
  </si>
  <si>
    <t>Emotional Distress; Help-Seeking, Coping &amp; Support; Treatment &amp; Medication</t>
  </si>
  <si>
    <t>QDA-155</t>
  </si>
  <si>
    <t>QDA-156</t>
  </si>
  <si>
    <t>Treatment &amp; Medication; Work, Study &amp; Financial Stress</t>
  </si>
  <si>
    <t>QDA-158</t>
  </si>
  <si>
    <t>QDA-159</t>
  </si>
  <si>
    <t>Family &amp; Parenting; Self-Harm &amp; Suicidal Thoughts; Treatment &amp; Medication</t>
  </si>
  <si>
    <t>QDA-160</t>
  </si>
  <si>
    <t>Family &amp; Parenting; Help-Seeking, Coping &amp; Support; Treatment &amp; Medication</t>
  </si>
  <si>
    <t>QDA-161</t>
  </si>
  <si>
    <t>QDA-162</t>
  </si>
  <si>
    <t>Anxiety &amp; Fear; Recovery &amp; Resilience; Treatment &amp; Medication</t>
  </si>
  <si>
    <t>QDA-163</t>
  </si>
  <si>
    <t>Alcohol &amp; Substance Use; Help-Seeking, Coping &amp; Support</t>
  </si>
  <si>
    <t>QDA-164</t>
  </si>
  <si>
    <t>QDA-165</t>
  </si>
  <si>
    <t>QDA-166</t>
  </si>
  <si>
    <t>QDA-167</t>
  </si>
  <si>
    <t>QDA-168</t>
  </si>
  <si>
    <t>QDA-169</t>
  </si>
  <si>
    <t>Emotional Distress; Help-Seeking, Coping &amp; Support; Relationships &amp; Isolation</t>
  </si>
  <si>
    <t>QDA-170</t>
  </si>
  <si>
    <t>QDA-171</t>
  </si>
  <si>
    <t>QDA-172</t>
  </si>
  <si>
    <t>QDA-173</t>
  </si>
  <si>
    <t>QDA-174</t>
  </si>
  <si>
    <t>QDA-175</t>
  </si>
  <si>
    <t>QDA-176</t>
  </si>
  <si>
    <t>QDA-177</t>
  </si>
  <si>
    <t>QDA-178</t>
  </si>
  <si>
    <t>Casual or Figurative Depression Language; Family &amp; Parenting</t>
  </si>
  <si>
    <t>QDA-179</t>
  </si>
  <si>
    <t>QDA-180</t>
  </si>
  <si>
    <t>QDA-181</t>
  </si>
  <si>
    <t>QDA-182</t>
  </si>
  <si>
    <t>QDA-183</t>
  </si>
  <si>
    <t>QDA-184</t>
  </si>
  <si>
    <t>QDA-186</t>
  </si>
  <si>
    <t>QDA-187</t>
  </si>
  <si>
    <t>QDA-188</t>
  </si>
  <si>
    <t>QDA-189</t>
  </si>
  <si>
    <t>QDA-190</t>
  </si>
  <si>
    <t>QDA-191</t>
  </si>
  <si>
    <t>QDA-192</t>
  </si>
  <si>
    <t>QDA-193</t>
  </si>
  <si>
    <t>QDA-194</t>
  </si>
  <si>
    <t>QDA-195</t>
  </si>
  <si>
    <t>QDA-196</t>
  </si>
  <si>
    <t>QDA-197</t>
  </si>
  <si>
    <t>QDA-198</t>
  </si>
  <si>
    <t>QDA-199</t>
  </si>
  <si>
    <t>QDA-200</t>
  </si>
  <si>
    <t>QDA-201</t>
  </si>
  <si>
    <t>QDA-202</t>
  </si>
  <si>
    <t>QDA-203</t>
  </si>
  <si>
    <t>Anxiety &amp; Fear; Family &amp; Parenting; Hopelessness &amp; Loss of Interest; Treatment &amp; Medication</t>
  </si>
  <si>
    <t>QDA-204</t>
  </si>
  <si>
    <t>QDA-205</t>
  </si>
  <si>
    <t>QDA-206</t>
  </si>
  <si>
    <t>Family &amp; Parenting; Self-Harm &amp; Suicidal Thoughts; Sleep &amp; Physical Difficulties</t>
  </si>
  <si>
    <t>QDA-207</t>
  </si>
  <si>
    <t>Emotional Distress; Self-Harm &amp; Suicidal Thoughts</t>
  </si>
  <si>
    <t>QDA-208</t>
  </si>
  <si>
    <t>Alcohol &amp; Substance Use; Family &amp; Parenting; Help-Seeking, Coping &amp; Support; Relationships &amp; Isolation</t>
  </si>
  <si>
    <t>QDA-209</t>
  </si>
  <si>
    <t>QDA-210</t>
  </si>
  <si>
    <t>Relationships &amp; Isolation; Self-Harm &amp; Suicidal Thoughts; Treatment &amp; Medication</t>
  </si>
  <si>
    <t>QDA-211</t>
  </si>
  <si>
    <t>Emotional Distress; Hopelessness &amp; Loss of Interest; Relationships &amp; Isolation; Self-Harm &amp; Suicidal Thoughts</t>
  </si>
  <si>
    <t>QDA-212</t>
  </si>
  <si>
    <t>QDA-213</t>
  </si>
  <si>
    <t>Help-Seeking, Coping &amp; Support; Self-Harm &amp; Suicidal Thoughts</t>
  </si>
  <si>
    <t>QDA-214</t>
  </si>
  <si>
    <t>Emotional Distress; Self-Harm &amp; Suicidal Thoughts; Work, Study &amp; Financial Stress</t>
  </si>
  <si>
    <t>QDA-215</t>
  </si>
  <si>
    <t>Family &amp; Parenting; Negative Self-Perception; Self-Harm &amp; Suicidal Thoughts</t>
  </si>
  <si>
    <t>QDA-217</t>
  </si>
  <si>
    <t>Emotional Distress; Self-Harm &amp; Suicidal Thoughts; Sleep &amp; Physical Difficulties; Treatment &amp; Medication</t>
  </si>
  <si>
    <t>QDA-218</t>
  </si>
  <si>
    <t>Relationships &amp; Isolation; Sleep &amp; Physical Difficulties; Treatment &amp; Medication</t>
  </si>
  <si>
    <t>QDA-219</t>
  </si>
  <si>
    <t>QDA-220</t>
  </si>
  <si>
    <t>Emotional Distress; Negative Self-Perception; Relationships &amp; Isolation</t>
  </si>
  <si>
    <t>QDA-222</t>
  </si>
  <si>
    <t>QDA-223</t>
  </si>
  <si>
    <t>Emotional Distress; Help-Seeking, Coping &amp; Support; Relationships &amp; Isolation; Self-Harm &amp; Suicidal Thoughts</t>
  </si>
  <si>
    <t>QDA-224</t>
  </si>
  <si>
    <t>Alcohol &amp; Substance Use; Help-Seeking, Coping &amp; Support; Negative Self-Perception; Self-Harm &amp; Suicidal Thoughts; Treatment &amp; Medication</t>
  </si>
  <si>
    <t>QDA-225</t>
  </si>
  <si>
    <t>Emotional Distress; Family &amp; Parenting; Hopelessness &amp; Loss of Interest; Self-Harm &amp; Suicidal Thoughts</t>
  </si>
  <si>
    <t>QDA-226</t>
  </si>
  <si>
    <t>Emotional Distress; Negative Self-Perception; Self-Harm &amp; Suicidal Thoughts</t>
  </si>
  <si>
    <t>QDA-227</t>
  </si>
  <si>
    <t>QDA-228</t>
  </si>
  <si>
    <t>QDA-229</t>
  </si>
  <si>
    <t>QDA-230</t>
  </si>
  <si>
    <t>Emotional Distress; Hopelessness &amp; Loss of Interest; Relationships &amp; Isolation</t>
  </si>
  <si>
    <t>QDA-231</t>
  </si>
  <si>
    <t>QDA-232</t>
  </si>
  <si>
    <t>Anxiety &amp; Fear; Emotional Distress; Negative Self-Perception</t>
  </si>
  <si>
    <t>QDA-233</t>
  </si>
  <si>
    <t>Anxiety &amp; Fear; Family &amp; Parenting; Negative Self-Perception; Relationships &amp; Isolation</t>
  </si>
  <si>
    <t>QDA-234</t>
  </si>
  <si>
    <t>Alcohol &amp; Substance Use; Help-Seeking, Coping &amp; Support; Sleep &amp; Physical Difficulties; Treatment &amp; Medication</t>
  </si>
  <si>
    <t>QDA-235</t>
  </si>
  <si>
    <t>Help-Seeking, Coping &amp; Support; Hopelessness &amp; Loss of Interest; Self-Harm &amp; Suicidal Thoughts</t>
  </si>
  <si>
    <t>QDA-236</t>
  </si>
  <si>
    <t>QDA-237</t>
  </si>
  <si>
    <t>Help-Seeking, Coping &amp; Support; Negative Self-Perception</t>
  </si>
  <si>
    <t>QDA-238</t>
  </si>
  <si>
    <t>Anxiety &amp; Fear; Emotional Distress; Relationships &amp; Isolation; Self-Harm &amp; Suicidal Thoughts; Sleep &amp; Physical Difficulties</t>
  </si>
  <si>
    <t>QDA-239</t>
  </si>
  <si>
    <t>Hopelessness &amp; Loss of Interest; Relationships &amp; Isolation; Treatment &amp; Medication</t>
  </si>
  <si>
    <t>QDA-240</t>
  </si>
  <si>
    <t>Anxiety &amp; Fear; Relationships &amp; Isolation</t>
  </si>
  <si>
    <t>QDA-241</t>
  </si>
  <si>
    <t>QDA-242</t>
  </si>
  <si>
    <t>Emotional Distress; Relationships &amp; Isolation</t>
  </si>
  <si>
    <t>QDA-243</t>
  </si>
  <si>
    <t>QDA-244</t>
  </si>
  <si>
    <t>Emotional Distress; Hopelessness &amp; Loss of Interest</t>
  </si>
  <si>
    <t>QDA-245</t>
  </si>
  <si>
    <t>Anxiety &amp; Fear; Family &amp; Parenting; Help-Seeking, Coping &amp; Support; Negative Self-Perception; Recovery &amp; Resilience; Self-Harm &amp; Suicidal Thoughts</t>
  </si>
  <si>
    <t>D1 / D2</t>
  </si>
  <si>
    <t>GPT primary ID</t>
  </si>
  <si>
    <t>GPT binary prediction</t>
  </si>
  <si>
    <t>GPT secondary theme</t>
  </si>
  <si>
    <t>MAXQDA codes n</t>
  </si>
  <si>
    <t>Work theme with public discussion</t>
  </si>
  <si>
    <t>D1</t>
  </si>
  <si>
    <t>1</t>
  </si>
  <si>
    <t>D2</t>
  </si>
  <si>
    <t>0</t>
  </si>
  <si>
    <t>NONE</t>
  </si>
  <si>
    <t>LDA topic label</t>
  </si>
  <si>
    <t>GPT records</t>
  </si>
  <si>
    <t>Coding at exclusion</t>
  </si>
  <si>
    <t>Methodological note</t>
  </si>
  <si>
    <t>QDA-019</t>
  </si>
  <si>
    <t>No MAXQDA coded segments in revised 245-text project</t>
  </si>
  <si>
    <t>Excluded after coding review; report transparently</t>
  </si>
  <si>
    <t>QDA-039</t>
  </si>
  <si>
    <t>QDA-059</t>
  </si>
  <si>
    <t>QDA-061</t>
  </si>
  <si>
    <t>QDA-064</t>
  </si>
  <si>
    <t>QDA-071</t>
  </si>
  <si>
    <t>QDA-090</t>
  </si>
  <si>
    <t>QDA-136</t>
  </si>
  <si>
    <t>QDA-139</t>
  </si>
  <si>
    <t>QDA-149</t>
  </si>
  <si>
    <t>QDA-157</t>
  </si>
  <si>
    <t>QDA-185</t>
  </si>
  <si>
    <t>QDA-216</t>
  </si>
  <si>
    <t>QDA-221</t>
  </si>
  <si>
    <t>How to interpret / report</t>
  </si>
  <si>
    <t>Human codebook</t>
  </si>
  <si>
    <t>The corresponding researcher reports the 15-category codebook was human-developed; 523 initially AI-assisted code assignments were subsequently validated by the researcher.</t>
  </si>
  <si>
    <t>Archival provenance</t>
  </si>
  <si>
    <t>The provided QDPX contains historical text and coding memos describing AI-assisted preliminary assignments; do not interpret them as a stored record of human sign-off.</t>
  </si>
  <si>
    <t>Sample flow</t>
  </si>
  <si>
    <t>Original purposive Label 1 sample: n=245. Excluded as uncoded: n=14. Final MAXQDA-coded subset: n=231.</t>
  </si>
  <si>
    <t>Selection sensitivity</t>
  </si>
  <si>
    <t>Removing uncoded texts raises some within-topic percentages without adding a coded match. Keep the original-sample comparison as a sensitivity analysis.</t>
  </si>
  <si>
    <t>LDA comparison</t>
  </si>
  <si>
    <t>LDA 7 dominant topics are used for partitioning. A text can have several MAXQDA codes, so code columns can overlap.</t>
  </si>
  <si>
    <t>GPT coverage</t>
  </si>
  <si>
    <t>182 unique retained texts have GPT annotations; 154 have one, 28 have two. 210 model-source records total. 49 lack annotations.</t>
  </si>
  <si>
    <t>GPT counting</t>
  </si>
  <si>
    <t>GPT table overlaps are annotation-record counts. A text can contribute two records, so percentages are not independent-observation estimates.</t>
  </si>
  <si>
    <t>Convergence terminology</t>
  </si>
  <si>
    <t>Report descriptive thematic correspondence / overlap. No clinical validity, independent validation, or model agreement coefficient established by these cross-tabulations.</t>
  </si>
  <si>
    <t>Potentially divergent theme</t>
  </si>
  <si>
    <t>GPT T06 work/study/financial pressure matches Work, Study &amp; Financial Stress in only 4/15 annotation records; 8/15 also have Public Discussion of Depression code.</t>
  </si>
  <si>
    <t>Code cloud</t>
  </si>
  <si>
    <t>Regenerate from the final 231-text, 15-code project; earlier 245-text visualizations and citations must be updated.</t>
  </si>
  <si>
    <t>Numerical consistency</t>
  </si>
  <si>
    <t>LDA overlap numerators and GPT overlaps are unchanged from the 245-case analysis because all 14 excluded texts had no MAXQDA assignments.</t>
  </si>
  <si>
    <t>Ethics</t>
  </si>
  <si>
    <t>The text labels are not clinical diagnoses. Review potentially identifying excerpts and translation accuracy before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</si>
</sst>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3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41" customWidth="1"/>
    <col min="2" max="2" width="119" customWidth="1"/>
  </cols>
  <sheetData>
    <row r="1" spans="1:2" ht="30" customHeight="1">
      <c r="A1" s="1" t="s">
        <v>0</v>
      </c>
      <c r="B1" s="1" t="s">
        <v>1</v>
      </c>
    </row>
    <row r="2" spans="1:2" ht="21.95" customHeight="1">
      <c r="A2" t="s">
        <v>2</v>
      </c>
      <c r="B2" t="s">
        <v>3</v>
      </c>
    </row>
    <row r="3" spans="1:2" ht="21.95" customHeight="1">
      <c r="A3" t="s">
        <v>4</v>
      </c>
      <c r="B3" t="s">
        <v>5</v>
      </c>
    </row>
    <row r="4" spans="1:2" ht="21.95" customHeight="1">
      <c r="A4" t="s">
        <v>6</v>
      </c>
      <c r="B4" t="s">
        <v>7</v>
      </c>
    </row>
    <row r="5" spans="1:2" ht="21.95" customHeight="1">
      <c r="A5" t="s">
        <v>8</v>
      </c>
      <c r="B5" t="s">
        <v>9</v>
      </c>
    </row>
    <row r="6" spans="1:2" ht="21.95" customHeight="1">
      <c r="A6" t="s">
        <v>10</v>
      </c>
      <c r="B6" t="s">
        <v>11</v>
      </c>
    </row>
    <row r="7" spans="1:2" ht="21.95" customHeight="1">
      <c r="A7" t="s">
        <v>12</v>
      </c>
      <c r="B7">
        <v>231</v>
      </c>
    </row>
    <row r="8" spans="1:2" ht="21.95" customHeight="1">
      <c r="A8" t="s">
        <v>13</v>
      </c>
      <c r="B8">
        <v>245</v>
      </c>
    </row>
    <row r="9" spans="1:2" ht="21.95" customHeight="1">
      <c r="A9" t="s">
        <v>14</v>
      </c>
      <c r="B9">
        <v>14</v>
      </c>
    </row>
    <row r="10" spans="1:2" ht="21.95" customHeight="1">
      <c r="A10" t="s">
        <v>15</v>
      </c>
      <c r="B10">
        <v>15</v>
      </c>
    </row>
    <row r="11" spans="1:2" ht="21.95" customHeight="1">
      <c r="A11" t="s">
        <v>16</v>
      </c>
      <c r="B11">
        <v>523</v>
      </c>
    </row>
    <row r="12" spans="1:2" ht="21.95" customHeight="1">
      <c r="A12" t="s">
        <v>17</v>
      </c>
      <c r="B12">
        <v>231</v>
      </c>
    </row>
    <row r="13" spans="1:2" ht="21.95" customHeight="1">
      <c r="A13" t="s">
        <v>18</v>
      </c>
      <c r="B13">
        <v>182</v>
      </c>
    </row>
    <row r="14" spans="1:2" ht="21.95" customHeight="1">
      <c r="A14" t="s">
        <v>19</v>
      </c>
      <c r="B14">
        <v>210</v>
      </c>
    </row>
    <row r="15" spans="1:2" ht="21.95" customHeight="1">
      <c r="A15" t="s">
        <v>20</v>
      </c>
      <c r="B15">
        <v>154</v>
      </c>
    </row>
    <row r="16" spans="1:2" ht="21.95" customHeight="1">
      <c r="A16" t="s">
        <v>21</v>
      </c>
      <c r="B16">
        <v>28</v>
      </c>
    </row>
    <row r="17" spans="1:2" ht="21.95" customHeight="1">
      <c r="A17" t="s">
        <v>22</v>
      </c>
      <c r="B17">
        <v>49</v>
      </c>
    </row>
    <row r="18" spans="1:2" ht="21.95" customHeight="1">
      <c r="A18" t="s">
        <v>23</v>
      </c>
      <c r="B18" t="s">
        <v>24</v>
      </c>
    </row>
    <row r="19" spans="1:2" ht="21.95" customHeight="1">
      <c r="A19" t="s">
        <v>25</v>
      </c>
      <c r="B19" t="s">
        <v>26</v>
      </c>
    </row>
    <row r="20" spans="1:2" ht="21.95" customHeight="1">
      <c r="A20" t="s">
        <v>27</v>
      </c>
      <c r="B20" t="s">
        <v>28</v>
      </c>
    </row>
    <row r="21" spans="1:2" ht="21.95" customHeight="1">
      <c r="A21" t="s">
        <v>29</v>
      </c>
      <c r="B21" t="s">
        <v>30</v>
      </c>
    </row>
    <row r="22" spans="1:2" ht="21.95" customHeight="1">
      <c r="A22" t="s">
        <v>31</v>
      </c>
      <c r="B22" t="s">
        <v>32</v>
      </c>
    </row>
    <row r="23" spans="1:2" ht="21.95" customHeight="1">
      <c r="A23" t="s">
        <v>33</v>
      </c>
      <c r="B2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49" customWidth="1"/>
    <col min="2" max="2" width="20" customWidth="1"/>
    <col min="3" max="3" width="21" customWidth="1"/>
    <col min="4" max="4" width="30" customWidth="1"/>
  </cols>
  <sheetData>
    <row r="1" spans="1:4" ht="30" customHeight="1">
      <c r="A1" s="1" t="s">
        <v>35</v>
      </c>
      <c r="B1" s="1" t="s">
        <v>16</v>
      </c>
      <c r="C1" s="1" t="s">
        <v>36</v>
      </c>
      <c r="D1" s="1" t="s">
        <v>37</v>
      </c>
    </row>
    <row r="2" spans="1:4" ht="21.95" customHeight="1">
      <c r="A2" t="s">
        <v>38</v>
      </c>
      <c r="B2">
        <v>33</v>
      </c>
      <c r="C2">
        <v>33</v>
      </c>
      <c r="D2" s="2">
        <f t="shared" ref="D2:D16" si="0">C2/231</f>
        <v>0.14285714285714285</v>
      </c>
    </row>
    <row r="3" spans="1:4" ht="21.95" customHeight="1">
      <c r="A3" t="s">
        <v>39</v>
      </c>
      <c r="B3">
        <v>16</v>
      </c>
      <c r="C3">
        <v>16</v>
      </c>
      <c r="D3" s="2">
        <f t="shared" si="0"/>
        <v>6.9264069264069264E-2</v>
      </c>
    </row>
    <row r="4" spans="1:4" ht="21.95" customHeight="1">
      <c r="A4" t="s">
        <v>40</v>
      </c>
      <c r="B4">
        <v>11</v>
      </c>
      <c r="C4">
        <v>11</v>
      </c>
      <c r="D4" s="2">
        <f t="shared" si="0"/>
        <v>4.7619047619047616E-2</v>
      </c>
    </row>
    <row r="5" spans="1:4" ht="21.95" customHeight="1">
      <c r="A5" t="s">
        <v>41</v>
      </c>
      <c r="B5">
        <v>31</v>
      </c>
      <c r="C5">
        <v>31</v>
      </c>
      <c r="D5" s="2">
        <f t="shared" si="0"/>
        <v>0.13419913419913421</v>
      </c>
    </row>
    <row r="6" spans="1:4" ht="21.95" customHeight="1">
      <c r="A6" t="s">
        <v>42</v>
      </c>
      <c r="B6">
        <v>33</v>
      </c>
      <c r="C6">
        <v>33</v>
      </c>
      <c r="D6" s="2">
        <f t="shared" si="0"/>
        <v>0.14285714285714285</v>
      </c>
    </row>
    <row r="7" spans="1:4" ht="21.95" customHeight="1">
      <c r="A7" t="s">
        <v>43</v>
      </c>
      <c r="B7">
        <v>28</v>
      </c>
      <c r="C7">
        <v>28</v>
      </c>
      <c r="D7" s="2">
        <f t="shared" si="0"/>
        <v>0.12121212121212122</v>
      </c>
    </row>
    <row r="8" spans="1:4" ht="21.95" customHeight="1">
      <c r="A8" t="s">
        <v>44</v>
      </c>
      <c r="B8">
        <v>42</v>
      </c>
      <c r="C8">
        <v>42</v>
      </c>
      <c r="D8" s="2">
        <f t="shared" si="0"/>
        <v>0.18181818181818182</v>
      </c>
    </row>
    <row r="9" spans="1:4" ht="21.95" customHeight="1">
      <c r="A9" t="s">
        <v>45</v>
      </c>
      <c r="B9">
        <v>89</v>
      </c>
      <c r="C9">
        <v>89</v>
      </c>
      <c r="D9" s="2">
        <f t="shared" si="0"/>
        <v>0.38528138528138528</v>
      </c>
    </row>
    <row r="10" spans="1:4" ht="21.95" customHeight="1">
      <c r="A10" t="s">
        <v>46</v>
      </c>
      <c r="B10">
        <v>72</v>
      </c>
      <c r="C10">
        <v>72</v>
      </c>
      <c r="D10" s="2">
        <f t="shared" si="0"/>
        <v>0.31168831168831168</v>
      </c>
    </row>
    <row r="11" spans="1:4" ht="21.95" customHeight="1">
      <c r="A11" t="s">
        <v>47</v>
      </c>
      <c r="B11">
        <v>39</v>
      </c>
      <c r="C11">
        <v>39</v>
      </c>
      <c r="D11" s="2">
        <f t="shared" si="0"/>
        <v>0.16883116883116883</v>
      </c>
    </row>
    <row r="12" spans="1:4" ht="21.95" customHeight="1">
      <c r="A12" t="s">
        <v>48</v>
      </c>
      <c r="B12">
        <v>16</v>
      </c>
      <c r="C12">
        <v>16</v>
      </c>
      <c r="D12" s="2">
        <f t="shared" si="0"/>
        <v>6.9264069264069264E-2</v>
      </c>
    </row>
    <row r="13" spans="1:4" ht="21.95" customHeight="1">
      <c r="A13" t="s">
        <v>49</v>
      </c>
      <c r="B13">
        <v>41</v>
      </c>
      <c r="C13">
        <v>41</v>
      </c>
      <c r="D13" s="2">
        <f t="shared" si="0"/>
        <v>0.1774891774891775</v>
      </c>
    </row>
    <row r="14" spans="1:4" ht="21.95" customHeight="1">
      <c r="A14" t="s">
        <v>50</v>
      </c>
      <c r="B14">
        <v>13</v>
      </c>
      <c r="C14">
        <v>13</v>
      </c>
      <c r="D14" s="2">
        <f t="shared" si="0"/>
        <v>5.627705627705628E-2</v>
      </c>
    </row>
    <row r="15" spans="1:4" ht="21.95" customHeight="1">
      <c r="A15" t="s">
        <v>51</v>
      </c>
      <c r="B15">
        <v>29</v>
      </c>
      <c r="C15">
        <v>29</v>
      </c>
      <c r="D15" s="2">
        <f t="shared" si="0"/>
        <v>0.12554112554112554</v>
      </c>
    </row>
    <row r="16" spans="1:4" ht="21.95" customHeight="1">
      <c r="A16" t="s">
        <v>52</v>
      </c>
      <c r="B16">
        <v>30</v>
      </c>
      <c r="C16">
        <v>30</v>
      </c>
      <c r="D16" s="2">
        <f t="shared" si="0"/>
        <v>0.12987012987012986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71" customWidth="1"/>
    <col min="3" max="4" width="19" customWidth="1"/>
    <col min="5" max="5" width="48" customWidth="1"/>
    <col min="6" max="6" width="17" customWidth="1"/>
    <col min="7" max="7" width="24" customWidth="1"/>
    <col min="8" max="8" width="25" customWidth="1"/>
    <col min="9" max="9" width="26" customWidth="1"/>
    <col min="10" max="10" width="64" customWidth="1"/>
  </cols>
  <sheetData>
    <row r="1" spans="1:10" ht="30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ht="21.95" customHeight="1">
      <c r="A2" t="s">
        <v>63</v>
      </c>
      <c r="B2" t="s">
        <v>64</v>
      </c>
      <c r="C2">
        <v>31</v>
      </c>
      <c r="D2">
        <v>30</v>
      </c>
      <c r="E2" t="s">
        <v>46</v>
      </c>
      <c r="F2">
        <v>26</v>
      </c>
      <c r="G2" s="2">
        <f t="shared" ref="G2:G10" si="0">F2/D2</f>
        <v>0.8666666666666667</v>
      </c>
      <c r="H2" s="2">
        <f t="shared" ref="H2:H10" si="1">F2/C2</f>
        <v>0.83870967741935487</v>
      </c>
      <c r="I2" s="3">
        <f t="shared" ref="I2:I10" si="2">(G2-H2)*100</f>
        <v>2.7956989247311825</v>
      </c>
      <c r="J2" t="s">
        <v>65</v>
      </c>
    </row>
    <row r="3" spans="1:10" ht="21.95" customHeight="1">
      <c r="A3" t="s">
        <v>66</v>
      </c>
      <c r="B3" t="s">
        <v>67</v>
      </c>
      <c r="C3">
        <v>40</v>
      </c>
      <c r="D3">
        <v>35</v>
      </c>
      <c r="E3" t="s">
        <v>45</v>
      </c>
      <c r="F3">
        <v>28</v>
      </c>
      <c r="G3" s="2">
        <f t="shared" si="0"/>
        <v>0.8</v>
      </c>
      <c r="H3" s="2">
        <f t="shared" si="1"/>
        <v>0.7</v>
      </c>
      <c r="I3" s="3">
        <f t="shared" si="2"/>
        <v>10.000000000000009</v>
      </c>
      <c r="J3" t="s">
        <v>65</v>
      </c>
    </row>
    <row r="4" spans="1:10" ht="21.95" customHeight="1">
      <c r="A4" t="s">
        <v>66</v>
      </c>
      <c r="B4" t="s">
        <v>67</v>
      </c>
      <c r="C4">
        <v>40</v>
      </c>
      <c r="D4">
        <v>35</v>
      </c>
      <c r="E4" t="s">
        <v>44</v>
      </c>
      <c r="F4">
        <v>24</v>
      </c>
      <c r="G4" s="2">
        <f t="shared" si="0"/>
        <v>0.68571428571428572</v>
      </c>
      <c r="H4" s="2">
        <f t="shared" si="1"/>
        <v>0.6</v>
      </c>
      <c r="I4" s="3">
        <f t="shared" si="2"/>
        <v>8.5714285714285747</v>
      </c>
      <c r="J4" t="s">
        <v>65</v>
      </c>
    </row>
    <row r="5" spans="1:10" ht="21.95" customHeight="1">
      <c r="A5" t="s">
        <v>68</v>
      </c>
      <c r="B5" t="s">
        <v>69</v>
      </c>
      <c r="C5">
        <v>45</v>
      </c>
      <c r="D5">
        <v>44</v>
      </c>
      <c r="E5" t="s">
        <v>43</v>
      </c>
      <c r="F5">
        <v>20</v>
      </c>
      <c r="G5" s="2">
        <f t="shared" si="0"/>
        <v>0.45454545454545453</v>
      </c>
      <c r="H5" s="2">
        <f t="shared" si="1"/>
        <v>0.44444444444444442</v>
      </c>
      <c r="I5" s="3">
        <f t="shared" si="2"/>
        <v>1.0101010101010111</v>
      </c>
      <c r="J5" t="s">
        <v>65</v>
      </c>
    </row>
    <row r="6" spans="1:10" ht="21.95" customHeight="1">
      <c r="A6" t="s">
        <v>68</v>
      </c>
      <c r="B6" t="s">
        <v>69</v>
      </c>
      <c r="C6">
        <v>45</v>
      </c>
      <c r="D6">
        <v>44</v>
      </c>
      <c r="E6" t="s">
        <v>42</v>
      </c>
      <c r="F6">
        <v>15</v>
      </c>
      <c r="G6" s="2">
        <f t="shared" si="0"/>
        <v>0.34090909090909088</v>
      </c>
      <c r="H6" s="2">
        <f t="shared" si="1"/>
        <v>0.33333333333333331</v>
      </c>
      <c r="I6" s="3">
        <f t="shared" si="2"/>
        <v>0.7575757575757569</v>
      </c>
      <c r="J6" t="s">
        <v>65</v>
      </c>
    </row>
    <row r="7" spans="1:10" ht="21.95" customHeight="1">
      <c r="A7" t="s">
        <v>70</v>
      </c>
      <c r="B7" t="s">
        <v>71</v>
      </c>
      <c r="C7">
        <v>10</v>
      </c>
      <c r="D7">
        <v>10</v>
      </c>
      <c r="E7" t="s">
        <v>51</v>
      </c>
      <c r="F7">
        <v>8</v>
      </c>
      <c r="G7" s="2">
        <f t="shared" si="0"/>
        <v>0.8</v>
      </c>
      <c r="H7" s="2">
        <f t="shared" si="1"/>
        <v>0.8</v>
      </c>
      <c r="I7" s="3">
        <f t="shared" si="2"/>
        <v>0</v>
      </c>
      <c r="J7" t="s">
        <v>65</v>
      </c>
    </row>
    <row r="8" spans="1:10" ht="21.95" customHeight="1">
      <c r="A8" t="s">
        <v>72</v>
      </c>
      <c r="B8" t="s">
        <v>73</v>
      </c>
      <c r="C8">
        <v>40</v>
      </c>
      <c r="D8">
        <v>36</v>
      </c>
      <c r="E8" t="s">
        <v>47</v>
      </c>
      <c r="F8">
        <v>10</v>
      </c>
      <c r="G8" s="2">
        <f t="shared" si="0"/>
        <v>0.27777777777777779</v>
      </c>
      <c r="H8" s="2">
        <f t="shared" si="1"/>
        <v>0.25</v>
      </c>
      <c r="I8" s="3">
        <f t="shared" si="2"/>
        <v>2.777777777777779</v>
      </c>
      <c r="J8" t="s">
        <v>65</v>
      </c>
    </row>
    <row r="9" spans="1:10" ht="21.95" customHeight="1">
      <c r="A9" t="s">
        <v>74</v>
      </c>
      <c r="B9" t="s">
        <v>75</v>
      </c>
      <c r="C9">
        <v>30</v>
      </c>
      <c r="D9">
        <v>29</v>
      </c>
      <c r="E9" t="s">
        <v>52</v>
      </c>
      <c r="F9">
        <v>22</v>
      </c>
      <c r="G9" s="2">
        <f t="shared" si="0"/>
        <v>0.75862068965517238</v>
      </c>
      <c r="H9" s="2">
        <f t="shared" si="1"/>
        <v>0.73333333333333328</v>
      </c>
      <c r="I9" s="3">
        <f t="shared" si="2"/>
        <v>2.5287356321839094</v>
      </c>
      <c r="J9" t="s">
        <v>65</v>
      </c>
    </row>
    <row r="10" spans="1:10" ht="21.95" customHeight="1">
      <c r="A10" t="s">
        <v>76</v>
      </c>
      <c r="B10" t="s">
        <v>77</v>
      </c>
      <c r="C10">
        <v>49</v>
      </c>
      <c r="D10">
        <v>47</v>
      </c>
      <c r="E10" t="s">
        <v>49</v>
      </c>
      <c r="F10">
        <v>20</v>
      </c>
      <c r="G10" s="2">
        <f t="shared" si="0"/>
        <v>0.42553191489361702</v>
      </c>
      <c r="H10" s="2">
        <f t="shared" si="1"/>
        <v>0.40816326530612246</v>
      </c>
      <c r="I10" s="3">
        <f t="shared" si="2"/>
        <v>1.7368649587494567</v>
      </c>
      <c r="J10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49" customWidth="1"/>
    <col min="2" max="8" width="17" customWidth="1"/>
    <col min="9" max="9" width="20" customWidth="1"/>
  </cols>
  <sheetData>
    <row r="1" spans="1:9" ht="30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 ht="21.95" customHeight="1">
      <c r="A2" t="s">
        <v>38</v>
      </c>
      <c r="B2">
        <v>2</v>
      </c>
      <c r="C2">
        <v>3</v>
      </c>
      <c r="D2">
        <v>11</v>
      </c>
      <c r="E2">
        <v>0</v>
      </c>
      <c r="F2">
        <v>2</v>
      </c>
      <c r="G2">
        <v>1</v>
      </c>
      <c r="H2">
        <v>14</v>
      </c>
      <c r="I2">
        <v>33</v>
      </c>
    </row>
    <row r="3" spans="1:9" ht="21.95" customHeight="1">
      <c r="A3" t="s">
        <v>39</v>
      </c>
      <c r="B3">
        <v>0</v>
      </c>
      <c r="C3">
        <v>1</v>
      </c>
      <c r="D3">
        <v>5</v>
      </c>
      <c r="E3">
        <v>0</v>
      </c>
      <c r="F3">
        <v>1</v>
      </c>
      <c r="G3">
        <v>0</v>
      </c>
      <c r="H3">
        <v>9</v>
      </c>
      <c r="I3">
        <v>16</v>
      </c>
    </row>
    <row r="4" spans="1:9" ht="21.95" customHeight="1">
      <c r="A4" t="s">
        <v>40</v>
      </c>
      <c r="B4">
        <v>0</v>
      </c>
      <c r="C4">
        <v>1</v>
      </c>
      <c r="D4">
        <v>2</v>
      </c>
      <c r="E4">
        <v>0</v>
      </c>
      <c r="F4">
        <v>0</v>
      </c>
      <c r="G4">
        <v>0</v>
      </c>
      <c r="H4">
        <v>8</v>
      </c>
      <c r="I4">
        <v>11</v>
      </c>
    </row>
    <row r="5" spans="1:9" ht="21.95" customHeight="1">
      <c r="A5" t="s">
        <v>41</v>
      </c>
      <c r="B5">
        <v>1</v>
      </c>
      <c r="C5">
        <v>3</v>
      </c>
      <c r="D5">
        <v>9</v>
      </c>
      <c r="E5">
        <v>1</v>
      </c>
      <c r="F5">
        <v>3</v>
      </c>
      <c r="G5">
        <v>1</v>
      </c>
      <c r="H5">
        <v>13</v>
      </c>
      <c r="I5">
        <v>31</v>
      </c>
    </row>
    <row r="6" spans="1:9" ht="21.95" customHeight="1">
      <c r="A6" t="s">
        <v>42</v>
      </c>
      <c r="B6">
        <v>1</v>
      </c>
      <c r="C6">
        <v>1</v>
      </c>
      <c r="D6">
        <v>15</v>
      </c>
      <c r="E6">
        <v>0</v>
      </c>
      <c r="F6">
        <v>6</v>
      </c>
      <c r="G6">
        <v>2</v>
      </c>
      <c r="H6">
        <v>8</v>
      </c>
      <c r="I6">
        <v>33</v>
      </c>
    </row>
    <row r="7" spans="1:9" ht="21.95" customHeight="1">
      <c r="A7" t="s">
        <v>43</v>
      </c>
      <c r="B7">
        <v>1</v>
      </c>
      <c r="C7">
        <v>4</v>
      </c>
      <c r="D7">
        <v>20</v>
      </c>
      <c r="E7">
        <v>0</v>
      </c>
      <c r="F7">
        <v>1</v>
      </c>
      <c r="G7">
        <v>0</v>
      </c>
      <c r="H7">
        <v>2</v>
      </c>
      <c r="I7">
        <v>28</v>
      </c>
    </row>
    <row r="8" spans="1:9" ht="21.95" customHeight="1">
      <c r="A8" t="s">
        <v>44</v>
      </c>
      <c r="B8">
        <v>5</v>
      </c>
      <c r="C8">
        <v>24</v>
      </c>
      <c r="D8">
        <v>6</v>
      </c>
      <c r="E8">
        <v>0</v>
      </c>
      <c r="F8">
        <v>2</v>
      </c>
      <c r="G8">
        <v>0</v>
      </c>
      <c r="H8">
        <v>5</v>
      </c>
      <c r="I8">
        <v>42</v>
      </c>
    </row>
    <row r="9" spans="1:9" ht="21.95" customHeight="1">
      <c r="A9" t="s">
        <v>45</v>
      </c>
      <c r="B9">
        <v>13</v>
      </c>
      <c r="C9">
        <v>28</v>
      </c>
      <c r="D9">
        <v>20</v>
      </c>
      <c r="E9">
        <v>0</v>
      </c>
      <c r="F9">
        <v>18</v>
      </c>
      <c r="G9">
        <v>0</v>
      </c>
      <c r="H9">
        <v>10</v>
      </c>
      <c r="I9">
        <v>89</v>
      </c>
    </row>
    <row r="10" spans="1:9" ht="21.95" customHeight="1">
      <c r="A10" t="s">
        <v>46</v>
      </c>
      <c r="B10">
        <v>26</v>
      </c>
      <c r="C10">
        <v>17</v>
      </c>
      <c r="D10">
        <v>5</v>
      </c>
      <c r="E10">
        <v>0</v>
      </c>
      <c r="F10">
        <v>14</v>
      </c>
      <c r="G10">
        <v>1</v>
      </c>
      <c r="H10">
        <v>9</v>
      </c>
      <c r="I10">
        <v>72</v>
      </c>
    </row>
    <row r="11" spans="1:9" ht="21.95" customHeight="1">
      <c r="A11" t="s">
        <v>47</v>
      </c>
      <c r="B11">
        <v>3</v>
      </c>
      <c r="C11">
        <v>7</v>
      </c>
      <c r="D11">
        <v>7</v>
      </c>
      <c r="E11">
        <v>0</v>
      </c>
      <c r="F11">
        <v>10</v>
      </c>
      <c r="G11">
        <v>1</v>
      </c>
      <c r="H11">
        <v>11</v>
      </c>
      <c r="I11">
        <v>39</v>
      </c>
    </row>
    <row r="12" spans="1:9" ht="21.95" customHeight="1">
      <c r="A12" t="s">
        <v>48</v>
      </c>
      <c r="B12">
        <v>2</v>
      </c>
      <c r="C12">
        <v>3</v>
      </c>
      <c r="D12">
        <v>3</v>
      </c>
      <c r="E12">
        <v>0</v>
      </c>
      <c r="F12">
        <v>5</v>
      </c>
      <c r="G12">
        <v>0</v>
      </c>
      <c r="H12">
        <v>3</v>
      </c>
      <c r="I12">
        <v>16</v>
      </c>
    </row>
    <row r="13" spans="1:9" ht="21.95" customHeight="1">
      <c r="A13" t="s">
        <v>49</v>
      </c>
      <c r="B13">
        <v>3</v>
      </c>
      <c r="C13">
        <v>1</v>
      </c>
      <c r="D13">
        <v>14</v>
      </c>
      <c r="E13">
        <v>0</v>
      </c>
      <c r="F13">
        <v>3</v>
      </c>
      <c r="G13">
        <v>0</v>
      </c>
      <c r="H13">
        <v>20</v>
      </c>
      <c r="I13">
        <v>41</v>
      </c>
    </row>
    <row r="14" spans="1:9" ht="21.95" customHeight="1">
      <c r="A14" t="s">
        <v>50</v>
      </c>
      <c r="B14">
        <v>1</v>
      </c>
      <c r="C14">
        <v>3</v>
      </c>
      <c r="D14">
        <v>2</v>
      </c>
      <c r="E14">
        <v>0</v>
      </c>
      <c r="F14">
        <v>3</v>
      </c>
      <c r="G14">
        <v>0</v>
      </c>
      <c r="H14">
        <v>4</v>
      </c>
      <c r="I14">
        <v>13</v>
      </c>
    </row>
    <row r="15" spans="1:9" ht="21.95" customHeight="1">
      <c r="A15" t="s">
        <v>51</v>
      </c>
      <c r="B15">
        <v>3</v>
      </c>
      <c r="C15">
        <v>0</v>
      </c>
      <c r="D15">
        <v>5</v>
      </c>
      <c r="E15">
        <v>8</v>
      </c>
      <c r="F15">
        <v>6</v>
      </c>
      <c r="G15">
        <v>5</v>
      </c>
      <c r="H15">
        <v>2</v>
      </c>
      <c r="I15">
        <v>29</v>
      </c>
    </row>
    <row r="16" spans="1:9" ht="21.95" customHeight="1">
      <c r="A16" t="s">
        <v>52</v>
      </c>
      <c r="B16">
        <v>0</v>
      </c>
      <c r="C16">
        <v>2</v>
      </c>
      <c r="D16">
        <v>4</v>
      </c>
      <c r="E16">
        <v>1</v>
      </c>
      <c r="F16">
        <v>0</v>
      </c>
      <c r="G16">
        <v>22</v>
      </c>
      <c r="H16">
        <v>1</v>
      </c>
      <c r="I16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49" customWidth="1"/>
    <col min="2" max="8" width="17" customWidth="1"/>
  </cols>
  <sheetData>
    <row r="1" spans="1:8" ht="30" customHeight="1">
      <c r="A1" s="1" t="s">
        <v>78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ht="21.95" customHeight="1">
      <c r="A2" t="s">
        <v>38</v>
      </c>
      <c r="B2" s="2">
        <f>'LDA FULL MATRIX'!B2/30</f>
        <v>6.6666666666666666E-2</v>
      </c>
      <c r="C2" s="2">
        <f>'LDA FULL MATRIX'!C2/35</f>
        <v>8.5714285714285715E-2</v>
      </c>
      <c r="D2" s="2">
        <f>'LDA FULL MATRIX'!D2/44</f>
        <v>0.25</v>
      </c>
      <c r="E2" s="2">
        <f>'LDA FULL MATRIX'!E2/10</f>
        <v>0</v>
      </c>
      <c r="F2" s="2">
        <f>'LDA FULL MATRIX'!F2/36</f>
        <v>5.5555555555555552E-2</v>
      </c>
      <c r="G2" s="2">
        <f>'LDA FULL MATRIX'!G2/29</f>
        <v>3.4482758620689655E-2</v>
      </c>
      <c r="H2" s="2">
        <f>'LDA FULL MATRIX'!H2/47</f>
        <v>0.2978723404255319</v>
      </c>
    </row>
    <row r="3" spans="1:8" ht="21.95" customHeight="1">
      <c r="A3" t="s">
        <v>39</v>
      </c>
      <c r="B3" s="2">
        <f>'LDA FULL MATRIX'!B3/30</f>
        <v>0</v>
      </c>
      <c r="C3" s="2">
        <f>'LDA FULL MATRIX'!C3/35</f>
        <v>2.8571428571428571E-2</v>
      </c>
      <c r="D3" s="2">
        <f>'LDA FULL MATRIX'!D3/44</f>
        <v>0.11363636363636363</v>
      </c>
      <c r="E3" s="2">
        <f>'LDA FULL MATRIX'!E3/10</f>
        <v>0</v>
      </c>
      <c r="F3" s="2">
        <f>'LDA FULL MATRIX'!F3/36</f>
        <v>2.7777777777777776E-2</v>
      </c>
      <c r="G3" s="2">
        <f>'LDA FULL MATRIX'!G3/29</f>
        <v>0</v>
      </c>
      <c r="H3" s="2">
        <f>'LDA FULL MATRIX'!H3/47</f>
        <v>0.19148936170212766</v>
      </c>
    </row>
    <row r="4" spans="1:8" ht="21.95" customHeight="1">
      <c r="A4" t="s">
        <v>40</v>
      </c>
      <c r="B4" s="2">
        <f>'LDA FULL MATRIX'!B4/30</f>
        <v>0</v>
      </c>
      <c r="C4" s="2">
        <f>'LDA FULL MATRIX'!C4/35</f>
        <v>2.8571428571428571E-2</v>
      </c>
      <c r="D4" s="2">
        <f>'LDA FULL MATRIX'!D4/44</f>
        <v>4.5454545454545456E-2</v>
      </c>
      <c r="E4" s="2">
        <f>'LDA FULL MATRIX'!E4/10</f>
        <v>0</v>
      </c>
      <c r="F4" s="2">
        <f>'LDA FULL MATRIX'!F4/36</f>
        <v>0</v>
      </c>
      <c r="G4" s="2">
        <f>'LDA FULL MATRIX'!G4/29</f>
        <v>0</v>
      </c>
      <c r="H4" s="2">
        <f>'LDA FULL MATRIX'!H4/47</f>
        <v>0.1702127659574468</v>
      </c>
    </row>
    <row r="5" spans="1:8" ht="21.95" customHeight="1">
      <c r="A5" t="s">
        <v>41</v>
      </c>
      <c r="B5" s="2">
        <f>'LDA FULL MATRIX'!B5/30</f>
        <v>3.3333333333333333E-2</v>
      </c>
      <c r="C5" s="2">
        <f>'LDA FULL MATRIX'!C5/35</f>
        <v>8.5714285714285715E-2</v>
      </c>
      <c r="D5" s="2">
        <f>'LDA FULL MATRIX'!D5/44</f>
        <v>0.20454545454545456</v>
      </c>
      <c r="E5" s="2">
        <f>'LDA FULL MATRIX'!E5/10</f>
        <v>0.1</v>
      </c>
      <c r="F5" s="2">
        <f>'LDA FULL MATRIX'!F5/36</f>
        <v>8.3333333333333329E-2</v>
      </c>
      <c r="G5" s="2">
        <f>'LDA FULL MATRIX'!G5/29</f>
        <v>3.4482758620689655E-2</v>
      </c>
      <c r="H5" s="2">
        <f>'LDA FULL MATRIX'!H5/47</f>
        <v>0.27659574468085107</v>
      </c>
    </row>
    <row r="6" spans="1:8" ht="21.95" customHeight="1">
      <c r="A6" t="s">
        <v>42</v>
      </c>
      <c r="B6" s="2">
        <f>'LDA FULL MATRIX'!B6/30</f>
        <v>3.3333333333333333E-2</v>
      </c>
      <c r="C6" s="2">
        <f>'LDA FULL MATRIX'!C6/35</f>
        <v>2.8571428571428571E-2</v>
      </c>
      <c r="D6" s="2">
        <f>'LDA FULL MATRIX'!D6/44</f>
        <v>0.34090909090909088</v>
      </c>
      <c r="E6" s="2">
        <f>'LDA FULL MATRIX'!E6/10</f>
        <v>0</v>
      </c>
      <c r="F6" s="2">
        <f>'LDA FULL MATRIX'!F6/36</f>
        <v>0.16666666666666666</v>
      </c>
      <c r="G6" s="2">
        <f>'LDA FULL MATRIX'!G6/29</f>
        <v>6.8965517241379309E-2</v>
      </c>
      <c r="H6" s="2">
        <f>'LDA FULL MATRIX'!H6/47</f>
        <v>0.1702127659574468</v>
      </c>
    </row>
    <row r="7" spans="1:8" ht="21.95" customHeight="1">
      <c r="A7" t="s">
        <v>43</v>
      </c>
      <c r="B7" s="2">
        <f>'LDA FULL MATRIX'!B7/30</f>
        <v>3.3333333333333333E-2</v>
      </c>
      <c r="C7" s="2">
        <f>'LDA FULL MATRIX'!C7/35</f>
        <v>0.11428571428571428</v>
      </c>
      <c r="D7" s="2">
        <f>'LDA FULL MATRIX'!D7/44</f>
        <v>0.45454545454545453</v>
      </c>
      <c r="E7" s="2">
        <f>'LDA FULL MATRIX'!E7/10</f>
        <v>0</v>
      </c>
      <c r="F7" s="2">
        <f>'LDA FULL MATRIX'!F7/36</f>
        <v>2.7777777777777776E-2</v>
      </c>
      <c r="G7" s="2">
        <f>'LDA FULL MATRIX'!G7/29</f>
        <v>0</v>
      </c>
      <c r="H7" s="2">
        <f>'LDA FULL MATRIX'!H7/47</f>
        <v>4.2553191489361701E-2</v>
      </c>
    </row>
    <row r="8" spans="1:8" ht="21.95" customHeight="1">
      <c r="A8" t="s">
        <v>44</v>
      </c>
      <c r="B8" s="2">
        <f>'LDA FULL MATRIX'!B8/30</f>
        <v>0.16666666666666666</v>
      </c>
      <c r="C8" s="2">
        <f>'LDA FULL MATRIX'!C8/35</f>
        <v>0.68571428571428572</v>
      </c>
      <c r="D8" s="2">
        <f>'LDA FULL MATRIX'!D8/44</f>
        <v>0.13636363636363635</v>
      </c>
      <c r="E8" s="2">
        <f>'LDA FULL MATRIX'!E8/10</f>
        <v>0</v>
      </c>
      <c r="F8" s="2">
        <f>'LDA FULL MATRIX'!F8/36</f>
        <v>5.5555555555555552E-2</v>
      </c>
      <c r="G8" s="2">
        <f>'LDA FULL MATRIX'!G8/29</f>
        <v>0</v>
      </c>
      <c r="H8" s="2">
        <f>'LDA FULL MATRIX'!H8/47</f>
        <v>0.10638297872340426</v>
      </c>
    </row>
    <row r="9" spans="1:8" ht="21.95" customHeight="1">
      <c r="A9" t="s">
        <v>45</v>
      </c>
      <c r="B9" s="2">
        <f>'LDA FULL MATRIX'!B9/30</f>
        <v>0.43333333333333335</v>
      </c>
      <c r="C9" s="2">
        <f>'LDA FULL MATRIX'!C9/35</f>
        <v>0.8</v>
      </c>
      <c r="D9" s="2">
        <f>'LDA FULL MATRIX'!D9/44</f>
        <v>0.45454545454545453</v>
      </c>
      <c r="E9" s="2">
        <f>'LDA FULL MATRIX'!E9/10</f>
        <v>0</v>
      </c>
      <c r="F9" s="2">
        <f>'LDA FULL MATRIX'!F9/36</f>
        <v>0.5</v>
      </c>
      <c r="G9" s="2">
        <f>'LDA FULL MATRIX'!G9/29</f>
        <v>0</v>
      </c>
      <c r="H9" s="2">
        <f>'LDA FULL MATRIX'!H9/47</f>
        <v>0.21276595744680851</v>
      </c>
    </row>
    <row r="10" spans="1:8" ht="21.95" customHeight="1">
      <c r="A10" t="s">
        <v>46</v>
      </c>
      <c r="B10" s="2">
        <f>'LDA FULL MATRIX'!B10/30</f>
        <v>0.8666666666666667</v>
      </c>
      <c r="C10" s="2">
        <f>'LDA FULL MATRIX'!C10/35</f>
        <v>0.48571428571428571</v>
      </c>
      <c r="D10" s="2">
        <f>'LDA FULL MATRIX'!D10/44</f>
        <v>0.11363636363636363</v>
      </c>
      <c r="E10" s="2">
        <f>'LDA FULL MATRIX'!E10/10</f>
        <v>0</v>
      </c>
      <c r="F10" s="2">
        <f>'LDA FULL MATRIX'!F10/36</f>
        <v>0.3888888888888889</v>
      </c>
      <c r="G10" s="2">
        <f>'LDA FULL MATRIX'!G10/29</f>
        <v>3.4482758620689655E-2</v>
      </c>
      <c r="H10" s="2">
        <f>'LDA FULL MATRIX'!H10/47</f>
        <v>0.19148936170212766</v>
      </c>
    </row>
    <row r="11" spans="1:8" ht="21.95" customHeight="1">
      <c r="A11" t="s">
        <v>47</v>
      </c>
      <c r="B11" s="2">
        <f>'LDA FULL MATRIX'!B11/30</f>
        <v>0.1</v>
      </c>
      <c r="C11" s="2">
        <f>'LDA FULL MATRIX'!C11/35</f>
        <v>0.2</v>
      </c>
      <c r="D11" s="2">
        <f>'LDA FULL MATRIX'!D11/44</f>
        <v>0.15909090909090909</v>
      </c>
      <c r="E11" s="2">
        <f>'LDA FULL MATRIX'!E11/10</f>
        <v>0</v>
      </c>
      <c r="F11" s="2">
        <f>'LDA FULL MATRIX'!F11/36</f>
        <v>0.27777777777777779</v>
      </c>
      <c r="G11" s="2">
        <f>'LDA FULL MATRIX'!G11/29</f>
        <v>3.4482758620689655E-2</v>
      </c>
      <c r="H11" s="2">
        <f>'LDA FULL MATRIX'!H11/47</f>
        <v>0.23404255319148937</v>
      </c>
    </row>
    <row r="12" spans="1:8" ht="21.95" customHeight="1">
      <c r="A12" t="s">
        <v>48</v>
      </c>
      <c r="B12" s="2">
        <f>'LDA FULL MATRIX'!B12/30</f>
        <v>6.6666666666666666E-2</v>
      </c>
      <c r="C12" s="2">
        <f>'LDA FULL MATRIX'!C12/35</f>
        <v>8.5714285714285715E-2</v>
      </c>
      <c r="D12" s="2">
        <f>'LDA FULL MATRIX'!D12/44</f>
        <v>6.8181818181818177E-2</v>
      </c>
      <c r="E12" s="2">
        <f>'LDA FULL MATRIX'!E12/10</f>
        <v>0</v>
      </c>
      <c r="F12" s="2">
        <f>'LDA FULL MATRIX'!F12/36</f>
        <v>0.1388888888888889</v>
      </c>
      <c r="G12" s="2">
        <f>'LDA FULL MATRIX'!G12/29</f>
        <v>0</v>
      </c>
      <c r="H12" s="2">
        <f>'LDA FULL MATRIX'!H12/47</f>
        <v>6.3829787234042548E-2</v>
      </c>
    </row>
    <row r="13" spans="1:8" ht="21.95" customHeight="1">
      <c r="A13" t="s">
        <v>49</v>
      </c>
      <c r="B13" s="2">
        <f>'LDA FULL MATRIX'!B13/30</f>
        <v>0.1</v>
      </c>
      <c r="C13" s="2">
        <f>'LDA FULL MATRIX'!C13/35</f>
        <v>2.8571428571428571E-2</v>
      </c>
      <c r="D13" s="2">
        <f>'LDA FULL MATRIX'!D13/44</f>
        <v>0.31818181818181818</v>
      </c>
      <c r="E13" s="2">
        <f>'LDA FULL MATRIX'!E13/10</f>
        <v>0</v>
      </c>
      <c r="F13" s="2">
        <f>'LDA FULL MATRIX'!F13/36</f>
        <v>8.3333333333333329E-2</v>
      </c>
      <c r="G13" s="2">
        <f>'LDA FULL MATRIX'!G13/29</f>
        <v>0</v>
      </c>
      <c r="H13" s="2">
        <f>'LDA FULL MATRIX'!H13/47</f>
        <v>0.42553191489361702</v>
      </c>
    </row>
    <row r="14" spans="1:8" ht="21.95" customHeight="1">
      <c r="A14" t="s">
        <v>50</v>
      </c>
      <c r="B14" s="2">
        <f>'LDA FULL MATRIX'!B14/30</f>
        <v>3.3333333333333333E-2</v>
      </c>
      <c r="C14" s="2">
        <f>'LDA FULL MATRIX'!C14/35</f>
        <v>8.5714285714285715E-2</v>
      </c>
      <c r="D14" s="2">
        <f>'LDA FULL MATRIX'!D14/44</f>
        <v>4.5454545454545456E-2</v>
      </c>
      <c r="E14" s="2">
        <f>'LDA FULL MATRIX'!E14/10</f>
        <v>0</v>
      </c>
      <c r="F14" s="2">
        <f>'LDA FULL MATRIX'!F14/36</f>
        <v>8.3333333333333329E-2</v>
      </c>
      <c r="G14" s="2">
        <f>'LDA FULL MATRIX'!G14/29</f>
        <v>0</v>
      </c>
      <c r="H14" s="2">
        <f>'LDA FULL MATRIX'!H14/47</f>
        <v>8.5106382978723402E-2</v>
      </c>
    </row>
    <row r="15" spans="1:8" ht="21.95" customHeight="1">
      <c r="A15" t="s">
        <v>51</v>
      </c>
      <c r="B15" s="2">
        <f>'LDA FULL MATRIX'!B15/30</f>
        <v>0.1</v>
      </c>
      <c r="C15" s="2">
        <f>'LDA FULL MATRIX'!C15/35</f>
        <v>0</v>
      </c>
      <c r="D15" s="2">
        <f>'LDA FULL MATRIX'!D15/44</f>
        <v>0.11363636363636363</v>
      </c>
      <c r="E15" s="2">
        <f>'LDA FULL MATRIX'!E15/10</f>
        <v>0.8</v>
      </c>
      <c r="F15" s="2">
        <f>'LDA FULL MATRIX'!F15/36</f>
        <v>0.16666666666666666</v>
      </c>
      <c r="G15" s="2">
        <f>'LDA FULL MATRIX'!G15/29</f>
        <v>0.17241379310344829</v>
      </c>
      <c r="H15" s="2">
        <f>'LDA FULL MATRIX'!H15/47</f>
        <v>4.2553191489361701E-2</v>
      </c>
    </row>
    <row r="16" spans="1:8" ht="21.95" customHeight="1">
      <c r="A16" t="s">
        <v>52</v>
      </c>
      <c r="B16" s="2">
        <f>'LDA FULL MATRIX'!B16/30</f>
        <v>0</v>
      </c>
      <c r="C16" s="2">
        <f>'LDA FULL MATRIX'!C16/35</f>
        <v>5.7142857142857141E-2</v>
      </c>
      <c r="D16" s="2">
        <f>'LDA FULL MATRIX'!D16/44</f>
        <v>9.0909090909090912E-2</v>
      </c>
      <c r="E16" s="2">
        <f>'LDA FULL MATRIX'!E16/10</f>
        <v>0.1</v>
      </c>
      <c r="F16" s="2">
        <f>'LDA FULL MATRIX'!F16/36</f>
        <v>0</v>
      </c>
      <c r="G16" s="2">
        <f>'LDA FULL MATRIX'!G16/29</f>
        <v>0.75862068965517238</v>
      </c>
      <c r="H16" s="2">
        <f>'LDA FULL MATRIX'!H16/47</f>
        <v>2.1276595744680851E-2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62" customWidth="1"/>
    <col min="3" max="4" width="21" customWidth="1"/>
    <col min="5" max="5" width="22" customWidth="1"/>
    <col min="6" max="6" width="47" customWidth="1"/>
    <col min="7" max="7" width="21" customWidth="1"/>
    <col min="8" max="8" width="22" customWidth="1"/>
    <col min="9" max="9" width="27" customWidth="1"/>
    <col min="10" max="10" width="30" customWidth="1"/>
  </cols>
  <sheetData>
    <row r="1" spans="1:10" ht="30" customHeight="1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ht="21.95" customHeight="1">
      <c r="A2" t="s">
        <v>104</v>
      </c>
      <c r="B2" t="s">
        <v>105</v>
      </c>
      <c r="C2">
        <v>33</v>
      </c>
      <c r="D2">
        <v>33</v>
      </c>
      <c r="E2">
        <v>31</v>
      </c>
      <c r="F2" t="s">
        <v>46</v>
      </c>
      <c r="G2">
        <v>27</v>
      </c>
      <c r="H2" s="2">
        <f>G2/D2</f>
        <v>0.81818181818181823</v>
      </c>
      <c r="I2" s="2">
        <f>G2/C2</f>
        <v>0.81818181818181823</v>
      </c>
      <c r="J2">
        <v>4</v>
      </c>
    </row>
    <row r="3" spans="1:10" ht="21.95" customHeight="1">
      <c r="A3" t="s">
        <v>106</v>
      </c>
      <c r="B3" t="s">
        <v>107</v>
      </c>
      <c r="C3">
        <v>43</v>
      </c>
      <c r="D3">
        <v>42</v>
      </c>
      <c r="E3">
        <v>39</v>
      </c>
      <c r="F3" t="s">
        <v>49</v>
      </c>
      <c r="G3">
        <v>36</v>
      </c>
      <c r="H3" s="2">
        <f>G3/D3</f>
        <v>0.8571428571428571</v>
      </c>
      <c r="I3" s="2">
        <f>G3/C3</f>
        <v>0.83720930232558144</v>
      </c>
      <c r="J3">
        <v>0</v>
      </c>
    </row>
    <row r="4" spans="1:10" ht="21.95" customHeight="1">
      <c r="A4" t="s">
        <v>108</v>
      </c>
      <c r="B4" t="s">
        <v>109</v>
      </c>
      <c r="C4">
        <v>18</v>
      </c>
      <c r="D4">
        <v>15</v>
      </c>
      <c r="E4">
        <v>13</v>
      </c>
      <c r="F4" t="s">
        <v>43</v>
      </c>
      <c r="G4">
        <v>4</v>
      </c>
      <c r="H4" s="2">
        <f>G4/D4</f>
        <v>0.26666666666666666</v>
      </c>
      <c r="I4" s="2">
        <f>G4/C4</f>
        <v>0.22222222222222221</v>
      </c>
      <c r="J4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63" customWidth="1"/>
    <col min="3" max="4" width="20" customWidth="1"/>
    <col min="5" max="5" width="19" customWidth="1"/>
    <col min="6" max="20" width="18" customWidth="1"/>
  </cols>
  <sheetData>
    <row r="1" spans="1:20" ht="30" customHeight="1">
      <c r="A1" s="1" t="s">
        <v>94</v>
      </c>
      <c r="B1" s="1" t="s">
        <v>95</v>
      </c>
      <c r="C1" s="1" t="s">
        <v>96</v>
      </c>
      <c r="D1" s="1" t="s">
        <v>97</v>
      </c>
      <c r="E1" s="1" t="s">
        <v>110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ht="21.95" customHeight="1">
      <c r="A2" t="s">
        <v>111</v>
      </c>
      <c r="B2" t="s">
        <v>112</v>
      </c>
      <c r="C2">
        <v>2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</row>
    <row r="3" spans="1:20" ht="21.95" customHeight="1">
      <c r="A3" t="s">
        <v>113</v>
      </c>
      <c r="B3" t="s">
        <v>114</v>
      </c>
      <c r="C3">
        <v>36</v>
      </c>
      <c r="D3">
        <v>34</v>
      </c>
      <c r="E3">
        <v>32</v>
      </c>
      <c r="F3">
        <v>3</v>
      </c>
      <c r="G3">
        <v>1</v>
      </c>
      <c r="H3">
        <v>1</v>
      </c>
      <c r="I3">
        <v>5</v>
      </c>
      <c r="J3">
        <v>5</v>
      </c>
      <c r="K3">
        <v>4</v>
      </c>
      <c r="L3">
        <v>5</v>
      </c>
      <c r="M3">
        <v>19</v>
      </c>
      <c r="N3">
        <v>6</v>
      </c>
      <c r="O3">
        <v>5</v>
      </c>
      <c r="P3">
        <v>2</v>
      </c>
      <c r="Q3">
        <v>1</v>
      </c>
      <c r="R3">
        <v>2</v>
      </c>
      <c r="S3">
        <v>5</v>
      </c>
      <c r="T3">
        <v>7</v>
      </c>
    </row>
    <row r="4" spans="1:20" ht="21.95" customHeight="1">
      <c r="A4" t="s">
        <v>115</v>
      </c>
      <c r="B4" t="s">
        <v>116</v>
      </c>
      <c r="C4">
        <v>12</v>
      </c>
      <c r="D4">
        <v>12</v>
      </c>
      <c r="E4">
        <v>10</v>
      </c>
      <c r="F4">
        <v>1</v>
      </c>
      <c r="G4">
        <v>5</v>
      </c>
      <c r="H4">
        <v>0</v>
      </c>
      <c r="I4">
        <v>3</v>
      </c>
      <c r="J4">
        <v>1</v>
      </c>
      <c r="K4">
        <v>2</v>
      </c>
      <c r="L4">
        <v>0</v>
      </c>
      <c r="M4">
        <v>5</v>
      </c>
      <c r="N4">
        <v>1</v>
      </c>
      <c r="O4">
        <v>2</v>
      </c>
      <c r="P4">
        <v>2</v>
      </c>
      <c r="Q4">
        <v>0</v>
      </c>
      <c r="R4">
        <v>1</v>
      </c>
      <c r="S4">
        <v>1</v>
      </c>
      <c r="T4">
        <v>1</v>
      </c>
    </row>
    <row r="5" spans="1:20" ht="21.95" customHeight="1">
      <c r="A5" t="s">
        <v>117</v>
      </c>
      <c r="B5" t="s">
        <v>118</v>
      </c>
      <c r="C5">
        <v>11</v>
      </c>
      <c r="D5">
        <v>8</v>
      </c>
      <c r="E5">
        <v>7</v>
      </c>
      <c r="F5">
        <v>3</v>
      </c>
      <c r="G5">
        <v>0</v>
      </c>
      <c r="H5">
        <v>2</v>
      </c>
      <c r="I5">
        <v>2</v>
      </c>
      <c r="J5">
        <v>3</v>
      </c>
      <c r="K5">
        <v>1</v>
      </c>
      <c r="L5">
        <v>1</v>
      </c>
      <c r="M5">
        <v>1</v>
      </c>
      <c r="N5">
        <v>2</v>
      </c>
      <c r="O5">
        <v>1</v>
      </c>
      <c r="P5">
        <v>2</v>
      </c>
      <c r="Q5">
        <v>0</v>
      </c>
      <c r="R5">
        <v>1</v>
      </c>
      <c r="S5">
        <v>0</v>
      </c>
      <c r="T5">
        <v>1</v>
      </c>
    </row>
    <row r="6" spans="1:20" ht="21.95" customHeight="1">
      <c r="A6" t="s">
        <v>119</v>
      </c>
      <c r="B6" t="s">
        <v>120</v>
      </c>
      <c r="C6">
        <v>5</v>
      </c>
      <c r="D6">
        <v>5</v>
      </c>
      <c r="E6">
        <v>5</v>
      </c>
      <c r="F6">
        <v>1</v>
      </c>
      <c r="G6">
        <v>0</v>
      </c>
      <c r="H6">
        <v>0</v>
      </c>
      <c r="I6">
        <v>5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1.95" customHeight="1">
      <c r="A7" t="s">
        <v>121</v>
      </c>
      <c r="B7" t="s">
        <v>122</v>
      </c>
      <c r="C7">
        <v>10</v>
      </c>
      <c r="D7">
        <v>10</v>
      </c>
      <c r="E7">
        <v>9</v>
      </c>
      <c r="F7">
        <v>2</v>
      </c>
      <c r="G7">
        <v>0</v>
      </c>
      <c r="H7">
        <v>0</v>
      </c>
      <c r="I7">
        <v>2</v>
      </c>
      <c r="J7">
        <v>5</v>
      </c>
      <c r="K7">
        <v>0</v>
      </c>
      <c r="L7">
        <v>2</v>
      </c>
      <c r="M7">
        <v>3</v>
      </c>
      <c r="N7">
        <v>1</v>
      </c>
      <c r="O7">
        <v>1</v>
      </c>
      <c r="P7">
        <v>0</v>
      </c>
      <c r="Q7">
        <v>0</v>
      </c>
      <c r="R7">
        <v>0</v>
      </c>
      <c r="S7">
        <v>3</v>
      </c>
      <c r="T7">
        <v>4</v>
      </c>
    </row>
    <row r="8" spans="1:20" ht="21.95" customHeight="1">
      <c r="A8" t="s">
        <v>108</v>
      </c>
      <c r="B8" t="s">
        <v>109</v>
      </c>
      <c r="C8">
        <v>18</v>
      </c>
      <c r="D8">
        <v>15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2</v>
      </c>
      <c r="M8">
        <v>4</v>
      </c>
      <c r="N8">
        <v>2</v>
      </c>
      <c r="O8">
        <v>2</v>
      </c>
      <c r="P8">
        <v>0</v>
      </c>
      <c r="Q8">
        <v>0</v>
      </c>
      <c r="R8">
        <v>1</v>
      </c>
      <c r="S8">
        <v>8</v>
      </c>
      <c r="T8">
        <v>0</v>
      </c>
    </row>
    <row r="9" spans="1:20" ht="21.95" customHeight="1">
      <c r="A9" t="s">
        <v>123</v>
      </c>
      <c r="B9" t="s">
        <v>124</v>
      </c>
      <c r="C9">
        <v>21</v>
      </c>
      <c r="D9">
        <v>19</v>
      </c>
      <c r="E9">
        <v>16</v>
      </c>
      <c r="F9">
        <v>0</v>
      </c>
      <c r="G9">
        <v>0</v>
      </c>
      <c r="H9">
        <v>0</v>
      </c>
      <c r="I9">
        <v>3</v>
      </c>
      <c r="J9">
        <v>1</v>
      </c>
      <c r="K9">
        <v>3</v>
      </c>
      <c r="L9">
        <v>15</v>
      </c>
      <c r="M9">
        <v>18</v>
      </c>
      <c r="N9">
        <v>7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</row>
    <row r="10" spans="1:20" ht="21.95" customHeight="1">
      <c r="A10" t="s">
        <v>104</v>
      </c>
      <c r="B10" t="s">
        <v>105</v>
      </c>
      <c r="C10">
        <v>33</v>
      </c>
      <c r="D10">
        <v>33</v>
      </c>
      <c r="E10">
        <v>31</v>
      </c>
      <c r="F10">
        <v>1</v>
      </c>
      <c r="G10">
        <v>0</v>
      </c>
      <c r="H10">
        <v>2</v>
      </c>
      <c r="I10">
        <v>1</v>
      </c>
      <c r="J10">
        <v>2</v>
      </c>
      <c r="K10">
        <v>2</v>
      </c>
      <c r="L10">
        <v>4</v>
      </c>
      <c r="M10">
        <v>17</v>
      </c>
      <c r="N10">
        <v>27</v>
      </c>
      <c r="O10">
        <v>7</v>
      </c>
      <c r="P10">
        <v>4</v>
      </c>
      <c r="Q10">
        <v>3</v>
      </c>
      <c r="R10">
        <v>2</v>
      </c>
      <c r="S10">
        <v>4</v>
      </c>
      <c r="T10">
        <v>0</v>
      </c>
    </row>
    <row r="11" spans="1:20" ht="21.95" customHeight="1">
      <c r="A11" t="s">
        <v>125</v>
      </c>
      <c r="B11" t="s">
        <v>126</v>
      </c>
      <c r="C11">
        <v>19</v>
      </c>
      <c r="D11">
        <v>18</v>
      </c>
      <c r="E11">
        <v>16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3</v>
      </c>
      <c r="M11">
        <v>7</v>
      </c>
      <c r="N11">
        <v>2</v>
      </c>
      <c r="O11">
        <v>7</v>
      </c>
      <c r="P11">
        <v>3</v>
      </c>
      <c r="Q11">
        <v>2</v>
      </c>
      <c r="R11">
        <v>4</v>
      </c>
      <c r="S11">
        <v>3</v>
      </c>
      <c r="T11">
        <v>2</v>
      </c>
    </row>
    <row r="12" spans="1:20" ht="21.95" customHeight="1">
      <c r="A12" t="s">
        <v>127</v>
      </c>
      <c r="B12" t="s">
        <v>128</v>
      </c>
      <c r="C12">
        <v>3</v>
      </c>
      <c r="D12">
        <v>3</v>
      </c>
      <c r="E12">
        <v>3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</row>
    <row r="13" spans="1:20" ht="21.95" customHeight="1">
      <c r="A13" t="s">
        <v>106</v>
      </c>
      <c r="B13" t="s">
        <v>107</v>
      </c>
      <c r="C13">
        <v>43</v>
      </c>
      <c r="D13">
        <v>42</v>
      </c>
      <c r="E13">
        <v>39</v>
      </c>
      <c r="F13">
        <v>16</v>
      </c>
      <c r="G13">
        <v>7</v>
      </c>
      <c r="H13">
        <v>6</v>
      </c>
      <c r="I13">
        <v>11</v>
      </c>
      <c r="J13">
        <v>13</v>
      </c>
      <c r="K13">
        <v>10</v>
      </c>
      <c r="L13">
        <v>6</v>
      </c>
      <c r="M13">
        <v>11</v>
      </c>
      <c r="N13">
        <v>10</v>
      </c>
      <c r="O13">
        <v>5</v>
      </c>
      <c r="P13">
        <v>1</v>
      </c>
      <c r="Q13">
        <v>36</v>
      </c>
      <c r="R13">
        <v>1</v>
      </c>
      <c r="S13">
        <v>0</v>
      </c>
      <c r="T13">
        <v>0</v>
      </c>
    </row>
    <row r="14" spans="1:20" ht="21.95" customHeight="1">
      <c r="A14" t="s">
        <v>129</v>
      </c>
      <c r="B14" t="s">
        <v>130</v>
      </c>
      <c r="C14">
        <v>11</v>
      </c>
      <c r="D14">
        <v>9</v>
      </c>
      <c r="E14">
        <v>8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1</v>
      </c>
      <c r="T1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5" customWidth="1"/>
    <col min="2" max="2" width="28" customWidth="1"/>
    <col min="3" max="3" width="17" customWidth="1"/>
    <col min="4" max="4" width="63" customWidth="1"/>
    <col min="5" max="5" width="18" customWidth="1"/>
    <col min="6" max="6" width="22" customWidth="1"/>
    <col min="7" max="7" width="94" customWidth="1"/>
    <col min="8" max="8" width="24" customWidth="1"/>
    <col min="9" max="10" width="62" customWidth="1"/>
  </cols>
  <sheetData>
    <row r="1" spans="1:10" ht="30" customHeight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r="2" spans="1:10" ht="21.95" customHeight="1">
      <c r="A2" t="s">
        <v>141</v>
      </c>
      <c r="B2" t="s">
        <v>142</v>
      </c>
      <c r="C2" t="s">
        <v>63</v>
      </c>
      <c r="D2" t="s">
        <v>64</v>
      </c>
      <c r="E2">
        <v>0.24479999999999999</v>
      </c>
      <c r="F2">
        <v>5</v>
      </c>
      <c r="G2" t="s">
        <v>143</v>
      </c>
      <c r="H2">
        <v>1</v>
      </c>
      <c r="I2" t="s">
        <v>105</v>
      </c>
    </row>
    <row r="3" spans="1:10" ht="21.95" customHeight="1">
      <c r="A3" t="s">
        <v>144</v>
      </c>
      <c r="B3" t="s">
        <v>142</v>
      </c>
      <c r="C3" t="s">
        <v>63</v>
      </c>
      <c r="D3" t="s">
        <v>64</v>
      </c>
      <c r="E3">
        <v>0.2336</v>
      </c>
      <c r="F3">
        <v>1</v>
      </c>
      <c r="G3" t="s">
        <v>51</v>
      </c>
      <c r="H3">
        <v>2</v>
      </c>
      <c r="I3" t="s">
        <v>114</v>
      </c>
      <c r="J3" t="s">
        <v>109</v>
      </c>
    </row>
    <row r="4" spans="1:10" ht="21.95" customHeight="1">
      <c r="A4" t="s">
        <v>145</v>
      </c>
      <c r="B4" t="s">
        <v>142</v>
      </c>
      <c r="C4" t="s">
        <v>63</v>
      </c>
      <c r="D4" t="s">
        <v>64</v>
      </c>
      <c r="E4">
        <v>0.2336</v>
      </c>
      <c r="F4">
        <v>1</v>
      </c>
      <c r="G4" t="s">
        <v>51</v>
      </c>
      <c r="H4">
        <v>1</v>
      </c>
      <c r="J4" t="s">
        <v>109</v>
      </c>
    </row>
    <row r="5" spans="1:10" ht="21.95" customHeight="1">
      <c r="A5" t="s">
        <v>146</v>
      </c>
      <c r="B5" t="s">
        <v>142</v>
      </c>
      <c r="C5" t="s">
        <v>63</v>
      </c>
      <c r="D5" t="s">
        <v>64</v>
      </c>
      <c r="E5">
        <v>0.26960000000000001</v>
      </c>
      <c r="F5">
        <v>1</v>
      </c>
      <c r="G5" t="s">
        <v>46</v>
      </c>
      <c r="H5">
        <v>1</v>
      </c>
      <c r="J5" t="s">
        <v>105</v>
      </c>
    </row>
    <row r="6" spans="1:10" ht="21.95" customHeight="1">
      <c r="A6" t="s">
        <v>147</v>
      </c>
      <c r="B6" t="s">
        <v>142</v>
      </c>
      <c r="C6" t="s">
        <v>63</v>
      </c>
      <c r="D6" t="s">
        <v>64</v>
      </c>
      <c r="E6">
        <v>0.27960000000000002</v>
      </c>
      <c r="F6">
        <v>1</v>
      </c>
      <c r="G6" t="s">
        <v>46</v>
      </c>
      <c r="H6">
        <v>1</v>
      </c>
      <c r="I6" t="s">
        <v>105</v>
      </c>
    </row>
    <row r="7" spans="1:10" ht="21.95" customHeight="1">
      <c r="A7" t="s">
        <v>148</v>
      </c>
      <c r="B7" t="s">
        <v>149</v>
      </c>
      <c r="C7" t="s">
        <v>63</v>
      </c>
      <c r="D7" t="s">
        <v>64</v>
      </c>
      <c r="E7">
        <v>0.29039999999999999</v>
      </c>
      <c r="F7">
        <v>1</v>
      </c>
      <c r="G7" t="s">
        <v>46</v>
      </c>
      <c r="H7">
        <v>1</v>
      </c>
      <c r="J7" t="s">
        <v>105</v>
      </c>
    </row>
    <row r="8" spans="1:10" ht="21.95" customHeight="1">
      <c r="A8" t="s">
        <v>150</v>
      </c>
      <c r="B8" t="s">
        <v>149</v>
      </c>
      <c r="C8" t="s">
        <v>63</v>
      </c>
      <c r="D8" t="s">
        <v>64</v>
      </c>
      <c r="E8">
        <v>0.3095</v>
      </c>
      <c r="F8">
        <v>1</v>
      </c>
      <c r="G8" t="s">
        <v>46</v>
      </c>
      <c r="H8">
        <v>1</v>
      </c>
      <c r="I8" t="s">
        <v>105</v>
      </c>
    </row>
    <row r="9" spans="1:10" ht="21.95" customHeight="1">
      <c r="A9" t="s">
        <v>151</v>
      </c>
      <c r="B9" t="s">
        <v>149</v>
      </c>
      <c r="C9" t="s">
        <v>63</v>
      </c>
      <c r="D9" t="s">
        <v>64</v>
      </c>
      <c r="E9">
        <v>0.31740000000000002</v>
      </c>
      <c r="F9">
        <v>3</v>
      </c>
      <c r="G9" t="s">
        <v>152</v>
      </c>
      <c r="H9">
        <v>1</v>
      </c>
      <c r="I9" t="s">
        <v>105</v>
      </c>
    </row>
    <row r="10" spans="1:10" ht="21.95" customHeight="1">
      <c r="A10" t="s">
        <v>153</v>
      </c>
      <c r="B10" t="s">
        <v>149</v>
      </c>
      <c r="C10" t="s">
        <v>63</v>
      </c>
      <c r="D10" t="s">
        <v>64</v>
      </c>
      <c r="E10">
        <v>0.38159999999999999</v>
      </c>
      <c r="F10">
        <v>2</v>
      </c>
      <c r="G10" t="s">
        <v>154</v>
      </c>
      <c r="H10">
        <v>1</v>
      </c>
      <c r="I10" t="s">
        <v>105</v>
      </c>
    </row>
    <row r="11" spans="1:10" ht="21.95" customHeight="1">
      <c r="A11" t="s">
        <v>155</v>
      </c>
      <c r="B11" t="s">
        <v>149</v>
      </c>
      <c r="C11" t="s">
        <v>63</v>
      </c>
      <c r="D11" t="s">
        <v>64</v>
      </c>
      <c r="E11">
        <v>0.32369999999999999</v>
      </c>
      <c r="F11">
        <v>1</v>
      </c>
      <c r="G11" t="s">
        <v>46</v>
      </c>
      <c r="H11">
        <v>1</v>
      </c>
      <c r="J11" t="s">
        <v>107</v>
      </c>
    </row>
    <row r="12" spans="1:10" ht="21.95" customHeight="1">
      <c r="A12" t="s">
        <v>156</v>
      </c>
      <c r="B12" t="s">
        <v>149</v>
      </c>
      <c r="C12" t="s">
        <v>63</v>
      </c>
      <c r="D12" t="s">
        <v>64</v>
      </c>
      <c r="E12">
        <v>0.38429999999999997</v>
      </c>
      <c r="F12">
        <v>2</v>
      </c>
      <c r="G12" t="s">
        <v>157</v>
      </c>
      <c r="H12">
        <v>1</v>
      </c>
      <c r="J12" t="s">
        <v>105</v>
      </c>
    </row>
    <row r="13" spans="1:10" ht="21.95" customHeight="1">
      <c r="A13" t="s">
        <v>158</v>
      </c>
      <c r="B13" t="s">
        <v>159</v>
      </c>
      <c r="C13" t="s">
        <v>63</v>
      </c>
      <c r="D13" t="s">
        <v>64</v>
      </c>
      <c r="E13">
        <v>0.38690000000000002</v>
      </c>
      <c r="F13">
        <v>2</v>
      </c>
      <c r="G13" t="s">
        <v>157</v>
      </c>
      <c r="H13">
        <v>0</v>
      </c>
    </row>
    <row r="14" spans="1:10" ht="21.95" customHeight="1">
      <c r="A14" t="s">
        <v>160</v>
      </c>
      <c r="B14" t="s">
        <v>159</v>
      </c>
      <c r="C14" t="s">
        <v>63</v>
      </c>
      <c r="D14" t="s">
        <v>64</v>
      </c>
      <c r="E14">
        <v>0.2702</v>
      </c>
      <c r="F14">
        <v>2</v>
      </c>
      <c r="G14" t="s">
        <v>157</v>
      </c>
      <c r="H14">
        <v>0</v>
      </c>
    </row>
    <row r="15" spans="1:10" ht="21.95" customHeight="1">
      <c r="A15" t="s">
        <v>161</v>
      </c>
      <c r="B15" t="s">
        <v>159</v>
      </c>
      <c r="C15" t="s">
        <v>63</v>
      </c>
      <c r="D15" t="s">
        <v>64</v>
      </c>
      <c r="E15">
        <v>0.28839999999999999</v>
      </c>
      <c r="F15">
        <v>2</v>
      </c>
      <c r="G15" t="s">
        <v>157</v>
      </c>
      <c r="H15">
        <v>0</v>
      </c>
    </row>
    <row r="16" spans="1:10" ht="21.95" customHeight="1">
      <c r="A16" t="s">
        <v>162</v>
      </c>
      <c r="B16" t="s">
        <v>159</v>
      </c>
      <c r="C16" t="s">
        <v>63</v>
      </c>
      <c r="D16" t="s">
        <v>64</v>
      </c>
      <c r="E16">
        <v>0.24740000000000001</v>
      </c>
      <c r="F16">
        <v>3</v>
      </c>
      <c r="G16" t="s">
        <v>163</v>
      </c>
      <c r="H16">
        <v>0</v>
      </c>
    </row>
    <row r="17" spans="1:10" ht="21.95" customHeight="1">
      <c r="A17" t="s">
        <v>164</v>
      </c>
      <c r="B17" t="s">
        <v>159</v>
      </c>
      <c r="C17" t="s">
        <v>63</v>
      </c>
      <c r="D17" t="s">
        <v>64</v>
      </c>
      <c r="E17">
        <v>0.36919999999999997</v>
      </c>
      <c r="F17">
        <v>1</v>
      </c>
      <c r="G17" t="s">
        <v>46</v>
      </c>
      <c r="H17">
        <v>0</v>
      </c>
    </row>
    <row r="18" spans="1:10" ht="21.95" customHeight="1">
      <c r="A18" t="s">
        <v>165</v>
      </c>
      <c r="B18" t="s">
        <v>159</v>
      </c>
      <c r="C18" t="s">
        <v>63</v>
      </c>
      <c r="D18" t="s">
        <v>64</v>
      </c>
      <c r="E18">
        <v>0.32429999999999998</v>
      </c>
      <c r="F18">
        <v>2</v>
      </c>
      <c r="G18" t="s">
        <v>166</v>
      </c>
      <c r="H18">
        <v>0</v>
      </c>
    </row>
    <row r="19" spans="1:10" ht="21.95" customHeight="1">
      <c r="A19" t="s">
        <v>167</v>
      </c>
      <c r="B19" t="s">
        <v>159</v>
      </c>
      <c r="C19" t="s">
        <v>63</v>
      </c>
      <c r="D19" t="s">
        <v>64</v>
      </c>
      <c r="E19">
        <v>0.29470000000000002</v>
      </c>
      <c r="F19">
        <v>3</v>
      </c>
      <c r="G19" t="s">
        <v>168</v>
      </c>
      <c r="H19">
        <v>0</v>
      </c>
    </row>
    <row r="20" spans="1:10" ht="21.95" customHeight="1">
      <c r="A20" t="s">
        <v>169</v>
      </c>
      <c r="B20" t="s">
        <v>159</v>
      </c>
      <c r="C20" t="s">
        <v>63</v>
      </c>
      <c r="D20" t="s">
        <v>64</v>
      </c>
      <c r="E20">
        <v>0.26279999999999998</v>
      </c>
      <c r="F20">
        <v>1</v>
      </c>
      <c r="G20" t="s">
        <v>51</v>
      </c>
      <c r="H20">
        <v>0</v>
      </c>
    </row>
    <row r="21" spans="1:10" ht="21.95" customHeight="1">
      <c r="A21" t="s">
        <v>170</v>
      </c>
      <c r="B21" t="s">
        <v>159</v>
      </c>
      <c r="C21" t="s">
        <v>63</v>
      </c>
      <c r="D21" t="s">
        <v>64</v>
      </c>
      <c r="E21">
        <v>0.222</v>
      </c>
      <c r="F21">
        <v>1</v>
      </c>
      <c r="G21" t="s">
        <v>46</v>
      </c>
      <c r="H21">
        <v>0</v>
      </c>
    </row>
    <row r="22" spans="1:10" ht="21.95" customHeight="1">
      <c r="A22" t="s">
        <v>171</v>
      </c>
      <c r="B22" t="s">
        <v>159</v>
      </c>
      <c r="C22" t="s">
        <v>63</v>
      </c>
      <c r="D22" t="s">
        <v>64</v>
      </c>
      <c r="E22">
        <v>0.34749999999999998</v>
      </c>
      <c r="F22">
        <v>2</v>
      </c>
      <c r="G22" t="s">
        <v>172</v>
      </c>
      <c r="H22">
        <v>0</v>
      </c>
    </row>
    <row r="23" spans="1:10" ht="21.95" customHeight="1">
      <c r="A23" t="s">
        <v>173</v>
      </c>
      <c r="B23" t="s">
        <v>159</v>
      </c>
      <c r="C23" t="s">
        <v>63</v>
      </c>
      <c r="D23" t="s">
        <v>64</v>
      </c>
      <c r="E23">
        <v>0.20130000000000001</v>
      </c>
      <c r="F23">
        <v>2</v>
      </c>
      <c r="G23" t="s">
        <v>157</v>
      </c>
      <c r="H23">
        <v>0</v>
      </c>
    </row>
    <row r="24" spans="1:10" ht="21.95" customHeight="1">
      <c r="A24" t="s">
        <v>174</v>
      </c>
      <c r="B24" t="s">
        <v>159</v>
      </c>
      <c r="C24" t="s">
        <v>63</v>
      </c>
      <c r="D24" t="s">
        <v>64</v>
      </c>
      <c r="E24">
        <v>0.30020000000000002</v>
      </c>
      <c r="F24">
        <v>5</v>
      </c>
      <c r="G24" t="s">
        <v>175</v>
      </c>
      <c r="H24">
        <v>0</v>
      </c>
    </row>
    <row r="25" spans="1:10" ht="21.95" customHeight="1">
      <c r="A25" t="s">
        <v>176</v>
      </c>
      <c r="B25" t="s">
        <v>159</v>
      </c>
      <c r="C25" t="s">
        <v>63</v>
      </c>
      <c r="D25" t="s">
        <v>64</v>
      </c>
      <c r="E25">
        <v>0.3266</v>
      </c>
      <c r="F25">
        <v>2</v>
      </c>
      <c r="G25" t="s">
        <v>157</v>
      </c>
      <c r="H25">
        <v>0</v>
      </c>
    </row>
    <row r="26" spans="1:10" ht="21.95" customHeight="1">
      <c r="A26" t="s">
        <v>177</v>
      </c>
      <c r="B26" t="s">
        <v>159</v>
      </c>
      <c r="C26" t="s">
        <v>63</v>
      </c>
      <c r="D26" t="s">
        <v>64</v>
      </c>
      <c r="E26">
        <v>0.28360000000000002</v>
      </c>
      <c r="F26">
        <v>1</v>
      </c>
      <c r="G26" t="s">
        <v>45</v>
      </c>
      <c r="H26">
        <v>0</v>
      </c>
    </row>
    <row r="27" spans="1:10" ht="21.95" customHeight="1">
      <c r="A27" t="s">
        <v>178</v>
      </c>
      <c r="B27" t="s">
        <v>179</v>
      </c>
      <c r="C27" t="s">
        <v>63</v>
      </c>
      <c r="D27" t="s">
        <v>64</v>
      </c>
      <c r="E27">
        <v>0.41370000000000001</v>
      </c>
      <c r="F27">
        <v>5</v>
      </c>
      <c r="G27" t="s">
        <v>180</v>
      </c>
      <c r="H27">
        <v>0</v>
      </c>
    </row>
    <row r="28" spans="1:10" ht="21.95" customHeight="1">
      <c r="A28" t="s">
        <v>181</v>
      </c>
      <c r="B28" t="s">
        <v>179</v>
      </c>
      <c r="C28" t="s">
        <v>63</v>
      </c>
      <c r="D28" t="s">
        <v>64</v>
      </c>
      <c r="E28">
        <v>0.43540000000000001</v>
      </c>
      <c r="F28">
        <v>3</v>
      </c>
      <c r="G28" t="s">
        <v>182</v>
      </c>
      <c r="H28">
        <v>0</v>
      </c>
    </row>
    <row r="29" spans="1:10" ht="21.95" customHeight="1">
      <c r="A29" t="s">
        <v>183</v>
      </c>
      <c r="B29" t="s">
        <v>179</v>
      </c>
      <c r="C29" t="s">
        <v>63</v>
      </c>
      <c r="D29" t="s">
        <v>64</v>
      </c>
      <c r="E29">
        <v>0.40860000000000002</v>
      </c>
      <c r="F29">
        <v>1</v>
      </c>
      <c r="G29" t="s">
        <v>46</v>
      </c>
      <c r="H29">
        <v>0</v>
      </c>
    </row>
    <row r="30" spans="1:10" ht="21.95" customHeight="1">
      <c r="A30" t="s">
        <v>184</v>
      </c>
      <c r="B30" t="s">
        <v>179</v>
      </c>
      <c r="C30" t="s">
        <v>63</v>
      </c>
      <c r="D30" t="s">
        <v>64</v>
      </c>
      <c r="E30">
        <v>0.52459999999999996</v>
      </c>
      <c r="F30">
        <v>3</v>
      </c>
      <c r="G30" t="s">
        <v>168</v>
      </c>
      <c r="H30">
        <v>1</v>
      </c>
      <c r="J30" t="s">
        <v>105</v>
      </c>
    </row>
    <row r="31" spans="1:10" ht="21.95" customHeight="1">
      <c r="A31" t="s">
        <v>185</v>
      </c>
      <c r="B31" t="s">
        <v>179</v>
      </c>
      <c r="C31" t="s">
        <v>63</v>
      </c>
      <c r="D31" t="s">
        <v>64</v>
      </c>
      <c r="E31">
        <v>0.4703</v>
      </c>
      <c r="F31">
        <v>1</v>
      </c>
      <c r="G31" t="s">
        <v>46</v>
      </c>
      <c r="H31">
        <v>0</v>
      </c>
    </row>
    <row r="32" spans="1:10" ht="21.95" customHeight="1">
      <c r="A32" t="s">
        <v>186</v>
      </c>
      <c r="B32" t="s">
        <v>142</v>
      </c>
      <c r="C32" t="s">
        <v>66</v>
      </c>
      <c r="D32" t="s">
        <v>67</v>
      </c>
      <c r="E32">
        <v>0.35549999999999998</v>
      </c>
      <c r="F32">
        <v>1</v>
      </c>
      <c r="G32" t="s">
        <v>45</v>
      </c>
      <c r="H32">
        <v>2</v>
      </c>
      <c r="I32" t="s">
        <v>124</v>
      </c>
      <c r="J32" t="s">
        <v>124</v>
      </c>
    </row>
    <row r="33" spans="1:10" ht="21.95" customHeight="1">
      <c r="A33" t="s">
        <v>187</v>
      </c>
      <c r="B33" t="s">
        <v>142</v>
      </c>
      <c r="C33" t="s">
        <v>66</v>
      </c>
      <c r="D33" t="s">
        <v>67</v>
      </c>
      <c r="E33">
        <v>0.23250000000000001</v>
      </c>
      <c r="F33">
        <v>1</v>
      </c>
      <c r="G33" t="s">
        <v>46</v>
      </c>
      <c r="H33">
        <v>1</v>
      </c>
      <c r="J33" t="s">
        <v>126</v>
      </c>
    </row>
    <row r="34" spans="1:10" ht="21.95" customHeight="1">
      <c r="A34" t="s">
        <v>188</v>
      </c>
      <c r="B34" t="s">
        <v>142</v>
      </c>
      <c r="C34" t="s">
        <v>66</v>
      </c>
      <c r="D34" t="s">
        <v>67</v>
      </c>
      <c r="E34">
        <v>0.33850000000000002</v>
      </c>
      <c r="F34">
        <v>3</v>
      </c>
      <c r="G34" t="s">
        <v>189</v>
      </c>
      <c r="H34">
        <v>1</v>
      </c>
      <c r="J34" t="s">
        <v>105</v>
      </c>
    </row>
    <row r="35" spans="1:10" ht="21.95" customHeight="1">
      <c r="A35" t="s">
        <v>190</v>
      </c>
      <c r="B35" t="s">
        <v>142</v>
      </c>
      <c r="C35" t="s">
        <v>66</v>
      </c>
      <c r="D35" t="s">
        <v>67</v>
      </c>
      <c r="E35">
        <v>0.35210000000000002</v>
      </c>
      <c r="F35">
        <v>1</v>
      </c>
      <c r="G35" t="s">
        <v>44</v>
      </c>
      <c r="H35">
        <v>1</v>
      </c>
      <c r="J35" t="s">
        <v>124</v>
      </c>
    </row>
    <row r="36" spans="1:10" ht="21.95" customHeight="1">
      <c r="A36" t="s">
        <v>191</v>
      </c>
      <c r="B36" t="s">
        <v>142</v>
      </c>
      <c r="C36" t="s">
        <v>66</v>
      </c>
      <c r="D36" t="s">
        <v>67</v>
      </c>
      <c r="E36">
        <v>0.33310000000000001</v>
      </c>
      <c r="F36">
        <v>3</v>
      </c>
      <c r="G36" t="s">
        <v>192</v>
      </c>
      <c r="H36">
        <v>2</v>
      </c>
      <c r="I36" t="s">
        <v>126</v>
      </c>
      <c r="J36" t="s">
        <v>126</v>
      </c>
    </row>
    <row r="37" spans="1:10" ht="21.95" customHeight="1">
      <c r="A37" t="s">
        <v>193</v>
      </c>
      <c r="B37" t="s">
        <v>149</v>
      </c>
      <c r="C37" t="s">
        <v>66</v>
      </c>
      <c r="D37" t="s">
        <v>67</v>
      </c>
      <c r="E37">
        <v>0.63880000000000003</v>
      </c>
      <c r="F37">
        <v>4</v>
      </c>
      <c r="G37" t="s">
        <v>194</v>
      </c>
      <c r="H37">
        <v>1</v>
      </c>
      <c r="J37" t="s">
        <v>124</v>
      </c>
    </row>
    <row r="38" spans="1:10" ht="21.95" customHeight="1">
      <c r="A38" t="s">
        <v>195</v>
      </c>
      <c r="B38" t="s">
        <v>149</v>
      </c>
      <c r="C38" t="s">
        <v>66</v>
      </c>
      <c r="D38" t="s">
        <v>67</v>
      </c>
      <c r="E38">
        <v>0.46050000000000002</v>
      </c>
      <c r="F38">
        <v>3</v>
      </c>
      <c r="G38" t="s">
        <v>196</v>
      </c>
      <c r="H38">
        <v>2</v>
      </c>
      <c r="I38" t="s">
        <v>124</v>
      </c>
      <c r="J38" t="s">
        <v>124</v>
      </c>
    </row>
    <row r="39" spans="1:10" ht="21.95" customHeight="1">
      <c r="A39" t="s">
        <v>197</v>
      </c>
      <c r="B39" t="s">
        <v>149</v>
      </c>
      <c r="C39" t="s">
        <v>66</v>
      </c>
      <c r="D39" t="s">
        <v>67</v>
      </c>
      <c r="E39">
        <v>0.46960000000000002</v>
      </c>
      <c r="F39">
        <v>2</v>
      </c>
      <c r="G39" t="s">
        <v>198</v>
      </c>
      <c r="H39">
        <v>1</v>
      </c>
      <c r="I39" t="s">
        <v>124</v>
      </c>
    </row>
    <row r="40" spans="1:10" ht="21.95" customHeight="1">
      <c r="A40" t="s">
        <v>199</v>
      </c>
      <c r="B40" t="s">
        <v>149</v>
      </c>
      <c r="C40" t="s">
        <v>66</v>
      </c>
      <c r="D40" t="s">
        <v>67</v>
      </c>
      <c r="E40">
        <v>0.36659999999999998</v>
      </c>
      <c r="F40">
        <v>2</v>
      </c>
      <c r="G40" t="s">
        <v>200</v>
      </c>
      <c r="H40">
        <v>1</v>
      </c>
      <c r="I40" t="s">
        <v>124</v>
      </c>
    </row>
    <row r="41" spans="1:10" ht="21.95" customHeight="1">
      <c r="A41" t="s">
        <v>201</v>
      </c>
      <c r="B41" t="s">
        <v>149</v>
      </c>
      <c r="C41" t="s">
        <v>66</v>
      </c>
      <c r="D41" t="s">
        <v>67</v>
      </c>
      <c r="E41">
        <v>0.48699999999999999</v>
      </c>
      <c r="F41">
        <v>4</v>
      </c>
      <c r="G41" t="s">
        <v>202</v>
      </c>
      <c r="H41">
        <v>1</v>
      </c>
      <c r="I41" t="s">
        <v>124</v>
      </c>
    </row>
    <row r="42" spans="1:10" ht="21.95" customHeight="1">
      <c r="A42" t="s">
        <v>203</v>
      </c>
      <c r="B42" t="s">
        <v>149</v>
      </c>
      <c r="C42" t="s">
        <v>66</v>
      </c>
      <c r="D42" t="s">
        <v>67</v>
      </c>
      <c r="E42">
        <v>0.4108</v>
      </c>
      <c r="F42">
        <v>3</v>
      </c>
      <c r="G42" t="s">
        <v>204</v>
      </c>
      <c r="H42">
        <v>1</v>
      </c>
      <c r="J42" t="s">
        <v>124</v>
      </c>
    </row>
    <row r="43" spans="1:10" ht="21.95" customHeight="1">
      <c r="A43" t="s">
        <v>205</v>
      </c>
      <c r="B43" t="s">
        <v>149</v>
      </c>
      <c r="C43" t="s">
        <v>66</v>
      </c>
      <c r="D43" t="s">
        <v>67</v>
      </c>
      <c r="E43">
        <v>0.43880000000000002</v>
      </c>
      <c r="F43">
        <v>4</v>
      </c>
      <c r="G43" t="s">
        <v>206</v>
      </c>
      <c r="H43">
        <v>1</v>
      </c>
      <c r="I43" t="s">
        <v>126</v>
      </c>
    </row>
    <row r="44" spans="1:10" ht="21.95" customHeight="1">
      <c r="A44" t="s">
        <v>207</v>
      </c>
      <c r="B44" t="s">
        <v>149</v>
      </c>
      <c r="C44" t="s">
        <v>66</v>
      </c>
      <c r="D44" t="s">
        <v>67</v>
      </c>
      <c r="E44">
        <v>0.69189999999999996</v>
      </c>
      <c r="F44">
        <v>3</v>
      </c>
      <c r="G44" t="s">
        <v>168</v>
      </c>
      <c r="H44">
        <v>1</v>
      </c>
      <c r="J44" t="s">
        <v>124</v>
      </c>
    </row>
    <row r="45" spans="1:10" ht="21.95" customHeight="1">
      <c r="A45" t="s">
        <v>208</v>
      </c>
      <c r="B45" t="s">
        <v>149</v>
      </c>
      <c r="C45" t="s">
        <v>66</v>
      </c>
      <c r="D45" t="s">
        <v>67</v>
      </c>
      <c r="E45">
        <v>0.24640000000000001</v>
      </c>
      <c r="F45">
        <v>1</v>
      </c>
      <c r="G45" t="s">
        <v>47</v>
      </c>
      <c r="H45">
        <v>1</v>
      </c>
      <c r="I45" t="s">
        <v>126</v>
      </c>
    </row>
    <row r="46" spans="1:10" ht="21.95" customHeight="1">
      <c r="A46" t="s">
        <v>209</v>
      </c>
      <c r="B46" t="s">
        <v>149</v>
      </c>
      <c r="C46" t="s">
        <v>66</v>
      </c>
      <c r="D46" t="s">
        <v>67</v>
      </c>
      <c r="E46">
        <v>0.36549999999999999</v>
      </c>
      <c r="F46">
        <v>4</v>
      </c>
      <c r="G46" t="s">
        <v>210</v>
      </c>
      <c r="H46">
        <v>1</v>
      </c>
      <c r="J46" t="s">
        <v>105</v>
      </c>
    </row>
    <row r="47" spans="1:10" ht="21.95" customHeight="1">
      <c r="A47" t="s">
        <v>211</v>
      </c>
      <c r="B47" t="s">
        <v>149</v>
      </c>
      <c r="C47" t="s">
        <v>66</v>
      </c>
      <c r="D47" t="s">
        <v>67</v>
      </c>
      <c r="E47">
        <v>0.4274</v>
      </c>
      <c r="F47">
        <v>5</v>
      </c>
      <c r="G47" t="s">
        <v>212</v>
      </c>
      <c r="H47">
        <v>1</v>
      </c>
      <c r="I47" t="s">
        <v>114</v>
      </c>
    </row>
    <row r="48" spans="1:10" ht="21.95" customHeight="1">
      <c r="A48" t="s">
        <v>213</v>
      </c>
      <c r="B48" t="s">
        <v>149</v>
      </c>
      <c r="C48" t="s">
        <v>66</v>
      </c>
      <c r="D48" t="s">
        <v>67</v>
      </c>
      <c r="E48">
        <v>0.56510000000000005</v>
      </c>
      <c r="F48">
        <v>1</v>
      </c>
      <c r="G48" t="s">
        <v>45</v>
      </c>
      <c r="H48">
        <v>1</v>
      </c>
      <c r="J48" t="s">
        <v>114</v>
      </c>
    </row>
    <row r="49" spans="1:10" ht="21.95" customHeight="1">
      <c r="A49" t="s">
        <v>214</v>
      </c>
      <c r="B49" t="s">
        <v>149</v>
      </c>
      <c r="C49" t="s">
        <v>66</v>
      </c>
      <c r="D49" t="s">
        <v>67</v>
      </c>
      <c r="E49">
        <v>0.48110000000000003</v>
      </c>
      <c r="F49">
        <v>2</v>
      </c>
      <c r="G49" t="s">
        <v>200</v>
      </c>
      <c r="H49">
        <v>1</v>
      </c>
      <c r="I49" t="s">
        <v>124</v>
      </c>
    </row>
    <row r="50" spans="1:10" ht="21.95" customHeight="1">
      <c r="A50" t="s">
        <v>215</v>
      </c>
      <c r="B50" t="s">
        <v>149</v>
      </c>
      <c r="C50" t="s">
        <v>66</v>
      </c>
      <c r="D50" t="s">
        <v>67</v>
      </c>
      <c r="E50">
        <v>0.55259999999999998</v>
      </c>
      <c r="F50">
        <v>4</v>
      </c>
      <c r="G50" t="s">
        <v>206</v>
      </c>
      <c r="H50">
        <v>1</v>
      </c>
      <c r="J50" t="s">
        <v>124</v>
      </c>
    </row>
    <row r="51" spans="1:10" ht="21.95" customHeight="1">
      <c r="A51" t="s">
        <v>216</v>
      </c>
      <c r="B51" t="s">
        <v>149</v>
      </c>
      <c r="C51" t="s">
        <v>66</v>
      </c>
      <c r="D51" t="s">
        <v>67</v>
      </c>
      <c r="E51">
        <v>0.4627</v>
      </c>
      <c r="F51">
        <v>4</v>
      </c>
      <c r="G51" t="s">
        <v>194</v>
      </c>
      <c r="H51">
        <v>1</v>
      </c>
      <c r="J51" t="s">
        <v>114</v>
      </c>
    </row>
    <row r="52" spans="1:10" ht="21.95" customHeight="1">
      <c r="A52" t="s">
        <v>217</v>
      </c>
      <c r="B52" t="s">
        <v>149</v>
      </c>
      <c r="C52" t="s">
        <v>66</v>
      </c>
      <c r="D52" t="s">
        <v>67</v>
      </c>
      <c r="E52">
        <v>0.3957</v>
      </c>
      <c r="F52">
        <v>1</v>
      </c>
      <c r="G52" t="s">
        <v>52</v>
      </c>
      <c r="H52">
        <v>1</v>
      </c>
      <c r="I52" t="s">
        <v>126</v>
      </c>
    </row>
    <row r="53" spans="1:10" ht="21.95" customHeight="1">
      <c r="A53" t="s">
        <v>218</v>
      </c>
      <c r="B53" t="s">
        <v>149</v>
      </c>
      <c r="C53" t="s">
        <v>66</v>
      </c>
      <c r="D53" t="s">
        <v>67</v>
      </c>
      <c r="E53">
        <v>0.34410000000000002</v>
      </c>
      <c r="F53">
        <v>5</v>
      </c>
      <c r="G53" t="s">
        <v>219</v>
      </c>
      <c r="H53">
        <v>1</v>
      </c>
      <c r="I53" t="s">
        <v>114</v>
      </c>
    </row>
    <row r="54" spans="1:10" ht="21.95" customHeight="1">
      <c r="A54" t="s">
        <v>220</v>
      </c>
      <c r="B54" t="s">
        <v>149</v>
      </c>
      <c r="C54" t="s">
        <v>66</v>
      </c>
      <c r="D54" t="s">
        <v>67</v>
      </c>
      <c r="E54">
        <v>0.38469999999999999</v>
      </c>
      <c r="F54">
        <v>4</v>
      </c>
      <c r="G54" t="s">
        <v>221</v>
      </c>
      <c r="H54">
        <v>1</v>
      </c>
      <c r="J54" t="s">
        <v>107</v>
      </c>
    </row>
    <row r="55" spans="1:10" ht="21.95" customHeight="1">
      <c r="A55" t="s">
        <v>222</v>
      </c>
      <c r="B55" t="s">
        <v>149</v>
      </c>
      <c r="C55" t="s">
        <v>66</v>
      </c>
      <c r="D55" t="s">
        <v>67</v>
      </c>
      <c r="E55">
        <v>0.28820000000000001</v>
      </c>
      <c r="F55">
        <v>2</v>
      </c>
      <c r="G55" t="s">
        <v>166</v>
      </c>
      <c r="H55">
        <v>1</v>
      </c>
      <c r="J55" t="s">
        <v>105</v>
      </c>
    </row>
    <row r="56" spans="1:10" ht="21.95" customHeight="1">
      <c r="A56" t="s">
        <v>223</v>
      </c>
      <c r="B56" t="s">
        <v>149</v>
      </c>
      <c r="C56" t="s">
        <v>66</v>
      </c>
      <c r="D56" t="s">
        <v>67</v>
      </c>
      <c r="E56">
        <v>0.4259</v>
      </c>
      <c r="F56">
        <v>5</v>
      </c>
      <c r="G56" t="s">
        <v>224</v>
      </c>
      <c r="H56">
        <v>1</v>
      </c>
      <c r="J56" t="s">
        <v>122</v>
      </c>
    </row>
    <row r="57" spans="1:10" ht="21.95" customHeight="1">
      <c r="A57" t="s">
        <v>225</v>
      </c>
      <c r="B57" t="s">
        <v>149</v>
      </c>
      <c r="C57" t="s">
        <v>66</v>
      </c>
      <c r="D57" t="s">
        <v>67</v>
      </c>
      <c r="E57">
        <v>0.32690000000000002</v>
      </c>
      <c r="F57">
        <v>3</v>
      </c>
      <c r="G57" t="s">
        <v>168</v>
      </c>
      <c r="H57">
        <v>2</v>
      </c>
      <c r="I57" t="s">
        <v>124</v>
      </c>
      <c r="J57" t="s">
        <v>124</v>
      </c>
    </row>
    <row r="58" spans="1:10" ht="21.95" customHeight="1">
      <c r="A58" t="s">
        <v>226</v>
      </c>
      <c r="B58" t="s">
        <v>149</v>
      </c>
      <c r="C58" t="s">
        <v>66</v>
      </c>
      <c r="D58" t="s">
        <v>67</v>
      </c>
      <c r="E58">
        <v>0.37830000000000003</v>
      </c>
      <c r="F58">
        <v>1</v>
      </c>
      <c r="G58" t="s">
        <v>52</v>
      </c>
      <c r="H58">
        <v>1</v>
      </c>
      <c r="I58" t="s">
        <v>114</v>
      </c>
    </row>
    <row r="59" spans="1:10" ht="21.95" customHeight="1">
      <c r="A59" t="s">
        <v>227</v>
      </c>
      <c r="B59" t="s">
        <v>149</v>
      </c>
      <c r="C59" t="s">
        <v>66</v>
      </c>
      <c r="D59" t="s">
        <v>67</v>
      </c>
      <c r="E59">
        <v>0.30659999999999998</v>
      </c>
      <c r="F59">
        <v>2</v>
      </c>
      <c r="G59" t="s">
        <v>157</v>
      </c>
      <c r="H59">
        <v>1</v>
      </c>
      <c r="I59" t="s">
        <v>105</v>
      </c>
    </row>
    <row r="60" spans="1:10" ht="21.95" customHeight="1">
      <c r="A60" t="s">
        <v>228</v>
      </c>
      <c r="B60" t="s">
        <v>149</v>
      </c>
      <c r="C60" t="s">
        <v>66</v>
      </c>
      <c r="D60" t="s">
        <v>67</v>
      </c>
      <c r="E60">
        <v>0.49149999999999999</v>
      </c>
      <c r="F60">
        <v>1</v>
      </c>
      <c r="G60" t="s">
        <v>45</v>
      </c>
      <c r="H60">
        <v>1</v>
      </c>
      <c r="J60" t="s">
        <v>114</v>
      </c>
    </row>
    <row r="61" spans="1:10" ht="21.95" customHeight="1">
      <c r="A61" t="s">
        <v>229</v>
      </c>
      <c r="B61" t="s">
        <v>149</v>
      </c>
      <c r="C61" t="s">
        <v>66</v>
      </c>
      <c r="D61" t="s">
        <v>67</v>
      </c>
      <c r="E61">
        <v>0.4052</v>
      </c>
      <c r="F61">
        <v>3</v>
      </c>
      <c r="G61" t="s">
        <v>168</v>
      </c>
      <c r="H61">
        <v>1</v>
      </c>
      <c r="J61" t="s">
        <v>124</v>
      </c>
    </row>
    <row r="62" spans="1:10" ht="21.95" customHeight="1">
      <c r="A62" t="s">
        <v>230</v>
      </c>
      <c r="B62" t="s">
        <v>149</v>
      </c>
      <c r="C62" t="s">
        <v>66</v>
      </c>
      <c r="D62" t="s">
        <v>67</v>
      </c>
      <c r="E62">
        <v>0.67889999999999995</v>
      </c>
      <c r="F62">
        <v>3</v>
      </c>
      <c r="G62" t="s">
        <v>204</v>
      </c>
      <c r="H62">
        <v>1</v>
      </c>
      <c r="J62" t="s">
        <v>124</v>
      </c>
    </row>
    <row r="63" spans="1:10" ht="21.95" customHeight="1">
      <c r="A63" t="s">
        <v>231</v>
      </c>
      <c r="B63" t="s">
        <v>179</v>
      </c>
      <c r="C63" t="s">
        <v>66</v>
      </c>
      <c r="D63" t="s">
        <v>67</v>
      </c>
      <c r="E63">
        <v>0.71899999999999997</v>
      </c>
      <c r="F63">
        <v>5</v>
      </c>
      <c r="G63" t="s">
        <v>232</v>
      </c>
      <c r="H63">
        <v>0</v>
      </c>
    </row>
    <row r="64" spans="1:10" ht="21.95" customHeight="1">
      <c r="A64" t="s">
        <v>233</v>
      </c>
      <c r="B64" t="s">
        <v>179</v>
      </c>
      <c r="C64" t="s">
        <v>66</v>
      </c>
      <c r="D64" t="s">
        <v>67</v>
      </c>
      <c r="E64">
        <v>0.70430000000000004</v>
      </c>
      <c r="F64">
        <v>3</v>
      </c>
      <c r="G64" t="s">
        <v>168</v>
      </c>
      <c r="H64">
        <v>0</v>
      </c>
    </row>
    <row r="65" spans="1:10" ht="21.95" customHeight="1">
      <c r="A65" t="s">
        <v>234</v>
      </c>
      <c r="B65" t="s">
        <v>179</v>
      </c>
      <c r="C65" t="s">
        <v>66</v>
      </c>
      <c r="D65" t="s">
        <v>67</v>
      </c>
      <c r="E65">
        <v>0.72540000000000004</v>
      </c>
      <c r="F65">
        <v>3</v>
      </c>
      <c r="G65" t="s">
        <v>235</v>
      </c>
      <c r="H65">
        <v>0</v>
      </c>
    </row>
    <row r="66" spans="1:10" ht="21.95" customHeight="1">
      <c r="A66" t="s">
        <v>236</v>
      </c>
      <c r="B66" t="s">
        <v>179</v>
      </c>
      <c r="C66" t="s">
        <v>66</v>
      </c>
      <c r="D66" t="s">
        <v>67</v>
      </c>
      <c r="E66">
        <v>0.69230000000000003</v>
      </c>
      <c r="F66">
        <v>2</v>
      </c>
      <c r="G66" t="s">
        <v>200</v>
      </c>
      <c r="H66">
        <v>0</v>
      </c>
    </row>
    <row r="67" spans="1:10" ht="21.95" customHeight="1">
      <c r="A67" t="s">
        <v>237</v>
      </c>
      <c r="B67" t="s">
        <v>142</v>
      </c>
      <c r="C67" t="s">
        <v>68</v>
      </c>
      <c r="D67" t="s">
        <v>69</v>
      </c>
      <c r="E67">
        <v>0.2908</v>
      </c>
      <c r="F67">
        <v>4</v>
      </c>
      <c r="G67" t="s">
        <v>238</v>
      </c>
      <c r="H67">
        <v>1</v>
      </c>
      <c r="I67" t="s">
        <v>105</v>
      </c>
    </row>
    <row r="68" spans="1:10" ht="21.95" customHeight="1">
      <c r="A68" t="s">
        <v>239</v>
      </c>
      <c r="B68" t="s">
        <v>142</v>
      </c>
      <c r="C68" t="s">
        <v>68</v>
      </c>
      <c r="D68" t="s">
        <v>69</v>
      </c>
      <c r="E68">
        <v>0.2984</v>
      </c>
      <c r="F68">
        <v>1</v>
      </c>
      <c r="G68" t="s">
        <v>52</v>
      </c>
      <c r="H68">
        <v>1</v>
      </c>
      <c r="I68" t="s">
        <v>130</v>
      </c>
    </row>
    <row r="69" spans="1:10" ht="21.95" customHeight="1">
      <c r="A69" t="s">
        <v>240</v>
      </c>
      <c r="B69" t="s">
        <v>142</v>
      </c>
      <c r="C69" t="s">
        <v>68</v>
      </c>
      <c r="D69" t="s">
        <v>69</v>
      </c>
      <c r="E69">
        <v>0.34970000000000001</v>
      </c>
      <c r="F69">
        <v>4</v>
      </c>
      <c r="G69" t="s">
        <v>241</v>
      </c>
      <c r="H69">
        <v>1</v>
      </c>
      <c r="I69" t="s">
        <v>107</v>
      </c>
    </row>
    <row r="70" spans="1:10" ht="21.95" customHeight="1">
      <c r="A70" t="s">
        <v>242</v>
      </c>
      <c r="B70" t="s">
        <v>142</v>
      </c>
      <c r="C70" t="s">
        <v>68</v>
      </c>
      <c r="D70" t="s">
        <v>69</v>
      </c>
      <c r="E70">
        <v>0.37290000000000001</v>
      </c>
      <c r="F70">
        <v>1</v>
      </c>
      <c r="G70" t="s">
        <v>49</v>
      </c>
      <c r="H70">
        <v>1</v>
      </c>
      <c r="I70" t="s">
        <v>107</v>
      </c>
    </row>
    <row r="71" spans="1:10" ht="21.95" customHeight="1">
      <c r="A71" t="s">
        <v>243</v>
      </c>
      <c r="B71" t="s">
        <v>142</v>
      </c>
      <c r="C71" t="s">
        <v>68</v>
      </c>
      <c r="D71" t="s">
        <v>69</v>
      </c>
      <c r="E71">
        <v>0.252</v>
      </c>
      <c r="F71">
        <v>4</v>
      </c>
      <c r="G71" t="s">
        <v>244</v>
      </c>
      <c r="H71">
        <v>1</v>
      </c>
      <c r="I71" t="s">
        <v>116</v>
      </c>
    </row>
    <row r="72" spans="1:10" ht="21.95" customHeight="1">
      <c r="A72" t="s">
        <v>245</v>
      </c>
      <c r="B72" t="s">
        <v>246</v>
      </c>
      <c r="C72" t="s">
        <v>68</v>
      </c>
      <c r="D72" t="s">
        <v>69</v>
      </c>
      <c r="E72">
        <v>0.3276</v>
      </c>
      <c r="F72">
        <v>1</v>
      </c>
      <c r="G72" t="s">
        <v>52</v>
      </c>
      <c r="H72">
        <v>2</v>
      </c>
      <c r="I72" t="s">
        <v>126</v>
      </c>
      <c r="J72" t="s">
        <v>130</v>
      </c>
    </row>
    <row r="73" spans="1:10" ht="21.95" customHeight="1">
      <c r="A73" t="s">
        <v>247</v>
      </c>
      <c r="B73" t="s">
        <v>246</v>
      </c>
      <c r="C73" t="s">
        <v>68</v>
      </c>
      <c r="D73" t="s">
        <v>69</v>
      </c>
      <c r="E73">
        <v>0.3327</v>
      </c>
      <c r="F73">
        <v>5</v>
      </c>
      <c r="G73" t="s">
        <v>248</v>
      </c>
      <c r="H73">
        <v>2</v>
      </c>
      <c r="I73" t="s">
        <v>128</v>
      </c>
      <c r="J73" t="s">
        <v>105</v>
      </c>
    </row>
    <row r="74" spans="1:10" ht="21.95" customHeight="1">
      <c r="A74" t="s">
        <v>249</v>
      </c>
      <c r="B74" t="s">
        <v>246</v>
      </c>
      <c r="C74" t="s">
        <v>68</v>
      </c>
      <c r="D74" t="s">
        <v>69</v>
      </c>
      <c r="E74">
        <v>0.57950000000000002</v>
      </c>
      <c r="F74">
        <v>5</v>
      </c>
      <c r="G74" t="s">
        <v>250</v>
      </c>
      <c r="H74">
        <v>2</v>
      </c>
      <c r="I74" t="s">
        <v>122</v>
      </c>
      <c r="J74" t="s">
        <v>114</v>
      </c>
    </row>
    <row r="75" spans="1:10" ht="21.95" customHeight="1">
      <c r="A75" t="s">
        <v>251</v>
      </c>
      <c r="B75" t="s">
        <v>246</v>
      </c>
      <c r="C75" t="s">
        <v>68</v>
      </c>
      <c r="D75" t="s">
        <v>69</v>
      </c>
      <c r="E75">
        <v>0.50349999999999995</v>
      </c>
      <c r="F75">
        <v>5</v>
      </c>
      <c r="G75" t="s">
        <v>252</v>
      </c>
      <c r="H75">
        <v>2</v>
      </c>
      <c r="I75" t="s">
        <v>114</v>
      </c>
      <c r="J75" t="s">
        <v>107</v>
      </c>
    </row>
    <row r="76" spans="1:10" ht="21.95" customHeight="1">
      <c r="A76" t="s">
        <v>253</v>
      </c>
      <c r="B76" t="s">
        <v>246</v>
      </c>
      <c r="C76" t="s">
        <v>68</v>
      </c>
      <c r="D76" t="s">
        <v>69</v>
      </c>
      <c r="E76">
        <v>0.38219999999999998</v>
      </c>
      <c r="F76">
        <v>5</v>
      </c>
      <c r="G76" t="s">
        <v>254</v>
      </c>
      <c r="H76">
        <v>2</v>
      </c>
      <c r="I76" t="s">
        <v>105</v>
      </c>
      <c r="J76" t="s">
        <v>109</v>
      </c>
    </row>
    <row r="77" spans="1:10" ht="21.95" customHeight="1">
      <c r="A77" t="s">
        <v>255</v>
      </c>
      <c r="B77" t="s">
        <v>149</v>
      </c>
      <c r="C77" t="s">
        <v>68</v>
      </c>
      <c r="D77" t="s">
        <v>69</v>
      </c>
      <c r="E77">
        <v>0.25779999999999997</v>
      </c>
      <c r="F77">
        <v>1</v>
      </c>
      <c r="G77" t="s">
        <v>51</v>
      </c>
      <c r="H77">
        <v>2</v>
      </c>
      <c r="I77" t="s">
        <v>109</v>
      </c>
      <c r="J77" t="s">
        <v>109</v>
      </c>
    </row>
    <row r="78" spans="1:10" ht="21.95" customHeight="1">
      <c r="A78" t="s">
        <v>256</v>
      </c>
      <c r="B78" t="s">
        <v>149</v>
      </c>
      <c r="C78" t="s">
        <v>68</v>
      </c>
      <c r="D78" t="s">
        <v>69</v>
      </c>
      <c r="E78">
        <v>0.2762</v>
      </c>
      <c r="F78">
        <v>4</v>
      </c>
      <c r="G78" t="s">
        <v>257</v>
      </c>
      <c r="H78">
        <v>1</v>
      </c>
      <c r="J78" t="s">
        <v>124</v>
      </c>
    </row>
    <row r="79" spans="1:10" ht="21.95" customHeight="1">
      <c r="A79" t="s">
        <v>258</v>
      </c>
      <c r="B79" t="s">
        <v>149</v>
      </c>
      <c r="C79" t="s">
        <v>68</v>
      </c>
      <c r="D79" t="s">
        <v>69</v>
      </c>
      <c r="E79">
        <v>0.52529999999999999</v>
      </c>
      <c r="F79">
        <v>1</v>
      </c>
      <c r="G79" t="s">
        <v>51</v>
      </c>
      <c r="H79">
        <v>2</v>
      </c>
      <c r="I79" t="s">
        <v>122</v>
      </c>
      <c r="J79" t="s">
        <v>122</v>
      </c>
    </row>
    <row r="80" spans="1:10" ht="21.95" customHeight="1">
      <c r="A80" t="s">
        <v>259</v>
      </c>
      <c r="B80" t="s">
        <v>149</v>
      </c>
      <c r="C80" t="s">
        <v>68</v>
      </c>
      <c r="D80" t="s">
        <v>69</v>
      </c>
      <c r="E80">
        <v>0.5353</v>
      </c>
      <c r="F80">
        <v>4</v>
      </c>
      <c r="G80" t="s">
        <v>260</v>
      </c>
      <c r="H80">
        <v>1</v>
      </c>
      <c r="J80" t="s">
        <v>122</v>
      </c>
    </row>
    <row r="81" spans="1:10" ht="21.95" customHeight="1">
      <c r="A81" t="s">
        <v>261</v>
      </c>
      <c r="B81" t="s">
        <v>149</v>
      </c>
      <c r="C81" t="s">
        <v>68</v>
      </c>
      <c r="D81" t="s">
        <v>69</v>
      </c>
      <c r="E81">
        <v>0.44529999999999997</v>
      </c>
      <c r="F81">
        <v>5</v>
      </c>
      <c r="G81" t="s">
        <v>262</v>
      </c>
      <c r="H81">
        <v>1</v>
      </c>
      <c r="I81" t="s">
        <v>107</v>
      </c>
    </row>
    <row r="82" spans="1:10" ht="21.95" customHeight="1">
      <c r="A82" t="s">
        <v>263</v>
      </c>
      <c r="B82" t="s">
        <v>149</v>
      </c>
      <c r="C82" t="s">
        <v>68</v>
      </c>
      <c r="D82" t="s">
        <v>69</v>
      </c>
      <c r="E82">
        <v>0.60760000000000003</v>
      </c>
      <c r="F82">
        <v>1</v>
      </c>
      <c r="G82" t="s">
        <v>41</v>
      </c>
      <c r="H82">
        <v>1</v>
      </c>
      <c r="I82" t="s">
        <v>120</v>
      </c>
    </row>
    <row r="83" spans="1:10" ht="21.95" customHeight="1">
      <c r="A83" t="s">
        <v>264</v>
      </c>
      <c r="B83" t="s">
        <v>149</v>
      </c>
      <c r="C83" t="s">
        <v>68</v>
      </c>
      <c r="D83" t="s">
        <v>69</v>
      </c>
      <c r="E83">
        <v>0.58620000000000005</v>
      </c>
      <c r="F83">
        <v>3</v>
      </c>
      <c r="G83" t="s">
        <v>196</v>
      </c>
      <c r="H83">
        <v>1</v>
      </c>
      <c r="I83" t="s">
        <v>109</v>
      </c>
    </row>
    <row r="84" spans="1:10" ht="21.95" customHeight="1">
      <c r="A84" t="s">
        <v>265</v>
      </c>
      <c r="B84" t="s">
        <v>149</v>
      </c>
      <c r="C84" t="s">
        <v>68</v>
      </c>
      <c r="D84" t="s">
        <v>69</v>
      </c>
      <c r="E84">
        <v>0.318</v>
      </c>
      <c r="F84">
        <v>4</v>
      </c>
      <c r="G84" t="s">
        <v>266</v>
      </c>
      <c r="H84">
        <v>1</v>
      </c>
      <c r="J84" t="s">
        <v>126</v>
      </c>
    </row>
    <row r="85" spans="1:10" ht="21.95" customHeight="1">
      <c r="A85" t="s">
        <v>267</v>
      </c>
      <c r="B85" t="s">
        <v>149</v>
      </c>
      <c r="C85" t="s">
        <v>68</v>
      </c>
      <c r="D85" t="s">
        <v>69</v>
      </c>
      <c r="E85">
        <v>0.40179999999999999</v>
      </c>
      <c r="F85">
        <v>1</v>
      </c>
      <c r="G85" t="s">
        <v>51</v>
      </c>
      <c r="H85">
        <v>1</v>
      </c>
      <c r="J85" t="s">
        <v>114</v>
      </c>
    </row>
    <row r="86" spans="1:10" ht="21.95" customHeight="1">
      <c r="A86" t="s">
        <v>268</v>
      </c>
      <c r="B86" t="s">
        <v>149</v>
      </c>
      <c r="C86" t="s">
        <v>68</v>
      </c>
      <c r="D86" t="s">
        <v>69</v>
      </c>
      <c r="E86">
        <v>0.47799999999999998</v>
      </c>
      <c r="F86">
        <v>1</v>
      </c>
      <c r="G86" t="s">
        <v>49</v>
      </c>
      <c r="H86">
        <v>1</v>
      </c>
      <c r="J86" t="s">
        <v>107</v>
      </c>
    </row>
    <row r="87" spans="1:10" ht="21.95" customHeight="1">
      <c r="A87" t="s">
        <v>269</v>
      </c>
      <c r="B87" t="s">
        <v>149</v>
      </c>
      <c r="C87" t="s">
        <v>68</v>
      </c>
      <c r="D87" t="s">
        <v>69</v>
      </c>
      <c r="E87">
        <v>0.2954</v>
      </c>
      <c r="F87">
        <v>2</v>
      </c>
      <c r="G87" t="s">
        <v>198</v>
      </c>
      <c r="H87">
        <v>1</v>
      </c>
      <c r="I87" t="s">
        <v>109</v>
      </c>
    </row>
    <row r="88" spans="1:10" ht="21.95" customHeight="1">
      <c r="A88" t="s">
        <v>270</v>
      </c>
      <c r="B88" t="s">
        <v>149</v>
      </c>
      <c r="C88" t="s">
        <v>68</v>
      </c>
      <c r="D88" t="s">
        <v>69</v>
      </c>
      <c r="E88">
        <v>0.41770000000000002</v>
      </c>
      <c r="F88">
        <v>4</v>
      </c>
      <c r="G88" t="s">
        <v>271</v>
      </c>
      <c r="H88">
        <v>1</v>
      </c>
      <c r="J88" t="s">
        <v>107</v>
      </c>
    </row>
    <row r="89" spans="1:10" ht="21.95" customHeight="1">
      <c r="A89" t="s">
        <v>272</v>
      </c>
      <c r="B89" t="s">
        <v>149</v>
      </c>
      <c r="C89" t="s">
        <v>68</v>
      </c>
      <c r="D89" t="s">
        <v>69</v>
      </c>
      <c r="E89">
        <v>0.48010000000000003</v>
      </c>
      <c r="F89">
        <v>4</v>
      </c>
      <c r="G89" t="s">
        <v>273</v>
      </c>
      <c r="H89">
        <v>1</v>
      </c>
      <c r="J89" t="s">
        <v>107</v>
      </c>
    </row>
    <row r="90" spans="1:10" ht="21.95" customHeight="1">
      <c r="A90" t="s">
        <v>274</v>
      </c>
      <c r="B90" t="s">
        <v>149</v>
      </c>
      <c r="C90" t="s">
        <v>68</v>
      </c>
      <c r="D90" t="s">
        <v>69</v>
      </c>
      <c r="E90">
        <v>0.4239</v>
      </c>
      <c r="F90">
        <v>3</v>
      </c>
      <c r="G90" t="s">
        <v>275</v>
      </c>
      <c r="H90">
        <v>2</v>
      </c>
      <c r="I90" t="s">
        <v>116</v>
      </c>
      <c r="J90" t="s">
        <v>116</v>
      </c>
    </row>
    <row r="91" spans="1:10" ht="21.95" customHeight="1">
      <c r="A91" t="s">
        <v>276</v>
      </c>
      <c r="B91" t="s">
        <v>149</v>
      </c>
      <c r="C91" t="s">
        <v>68</v>
      </c>
      <c r="D91" t="s">
        <v>69</v>
      </c>
      <c r="E91">
        <v>0.44790000000000002</v>
      </c>
      <c r="F91">
        <v>5</v>
      </c>
      <c r="G91" t="s">
        <v>277</v>
      </c>
      <c r="H91">
        <v>1</v>
      </c>
      <c r="I91" t="s">
        <v>107</v>
      </c>
    </row>
    <row r="92" spans="1:10" ht="21.95" customHeight="1">
      <c r="A92" t="s">
        <v>278</v>
      </c>
      <c r="B92" t="s">
        <v>149</v>
      </c>
      <c r="C92" t="s">
        <v>68</v>
      </c>
      <c r="D92" t="s">
        <v>69</v>
      </c>
      <c r="E92">
        <v>0.5464</v>
      </c>
      <c r="F92">
        <v>3</v>
      </c>
      <c r="G92" t="s">
        <v>279</v>
      </c>
      <c r="H92">
        <v>1</v>
      </c>
      <c r="I92" t="s">
        <v>114</v>
      </c>
    </row>
    <row r="93" spans="1:10" ht="21.95" customHeight="1">
      <c r="A93" t="s">
        <v>280</v>
      </c>
      <c r="B93" t="s">
        <v>149</v>
      </c>
      <c r="C93" t="s">
        <v>68</v>
      </c>
      <c r="D93" t="s">
        <v>69</v>
      </c>
      <c r="E93">
        <v>0.40200000000000002</v>
      </c>
      <c r="F93">
        <v>1</v>
      </c>
      <c r="G93" t="s">
        <v>51</v>
      </c>
      <c r="H93">
        <v>1</v>
      </c>
      <c r="J93" t="s">
        <v>109</v>
      </c>
    </row>
    <row r="94" spans="1:10" ht="21.95" customHeight="1">
      <c r="A94" t="s">
        <v>281</v>
      </c>
      <c r="B94" t="s">
        <v>149</v>
      </c>
      <c r="C94" t="s">
        <v>68</v>
      </c>
      <c r="D94" t="s">
        <v>69</v>
      </c>
      <c r="E94">
        <v>0.502</v>
      </c>
      <c r="F94">
        <v>2</v>
      </c>
      <c r="G94" t="s">
        <v>282</v>
      </c>
      <c r="H94">
        <v>1</v>
      </c>
      <c r="J94" t="s">
        <v>114</v>
      </c>
    </row>
    <row r="95" spans="1:10" ht="21.95" customHeight="1">
      <c r="A95" t="s">
        <v>283</v>
      </c>
      <c r="B95" t="s">
        <v>149</v>
      </c>
      <c r="C95" t="s">
        <v>68</v>
      </c>
      <c r="D95" t="s">
        <v>69</v>
      </c>
      <c r="E95">
        <v>0.53939999999999999</v>
      </c>
      <c r="F95">
        <v>5</v>
      </c>
      <c r="G95" t="s">
        <v>284</v>
      </c>
      <c r="H95">
        <v>1</v>
      </c>
      <c r="I95" t="s">
        <v>107</v>
      </c>
    </row>
    <row r="96" spans="1:10" ht="21.95" customHeight="1">
      <c r="A96" t="s">
        <v>285</v>
      </c>
      <c r="B96" t="s">
        <v>149</v>
      </c>
      <c r="C96" t="s">
        <v>68</v>
      </c>
      <c r="D96" t="s">
        <v>69</v>
      </c>
      <c r="E96">
        <v>0.44940000000000002</v>
      </c>
      <c r="F96">
        <v>1</v>
      </c>
      <c r="G96" t="s">
        <v>52</v>
      </c>
      <c r="H96">
        <v>1</v>
      </c>
      <c r="I96" t="s">
        <v>114</v>
      </c>
    </row>
    <row r="97" spans="1:10" ht="21.95" customHeight="1">
      <c r="A97" t="s">
        <v>286</v>
      </c>
      <c r="B97" t="s">
        <v>149</v>
      </c>
      <c r="C97" t="s">
        <v>68</v>
      </c>
      <c r="D97" t="s">
        <v>69</v>
      </c>
      <c r="E97">
        <v>0.3039</v>
      </c>
      <c r="F97">
        <v>1</v>
      </c>
      <c r="G97" t="s">
        <v>45</v>
      </c>
      <c r="H97">
        <v>1</v>
      </c>
      <c r="J97" t="s">
        <v>114</v>
      </c>
    </row>
    <row r="98" spans="1:10" ht="21.95" customHeight="1">
      <c r="A98" t="s">
        <v>287</v>
      </c>
      <c r="B98" t="s">
        <v>149</v>
      </c>
      <c r="C98" t="s">
        <v>68</v>
      </c>
      <c r="D98" t="s">
        <v>69</v>
      </c>
      <c r="E98">
        <v>0.51570000000000005</v>
      </c>
      <c r="F98">
        <v>3</v>
      </c>
      <c r="G98" t="s">
        <v>288</v>
      </c>
      <c r="H98">
        <v>2</v>
      </c>
      <c r="I98" t="s">
        <v>118</v>
      </c>
      <c r="J98" t="s">
        <v>118</v>
      </c>
    </row>
    <row r="99" spans="1:10" ht="21.95" customHeight="1">
      <c r="A99" t="s">
        <v>289</v>
      </c>
      <c r="B99" t="s">
        <v>149</v>
      </c>
      <c r="C99" t="s">
        <v>68</v>
      </c>
      <c r="D99" t="s">
        <v>69</v>
      </c>
      <c r="E99">
        <v>0.41020000000000001</v>
      </c>
      <c r="F99">
        <v>1</v>
      </c>
      <c r="G99" t="s">
        <v>43</v>
      </c>
      <c r="H99">
        <v>1</v>
      </c>
      <c r="I99" t="s">
        <v>109</v>
      </c>
    </row>
    <row r="100" spans="1:10" ht="21.95" customHeight="1">
      <c r="A100" t="s">
        <v>290</v>
      </c>
      <c r="B100" t="s">
        <v>149</v>
      </c>
      <c r="C100" t="s">
        <v>68</v>
      </c>
      <c r="D100" t="s">
        <v>69</v>
      </c>
      <c r="E100">
        <v>0.57110000000000005</v>
      </c>
      <c r="F100">
        <v>4</v>
      </c>
      <c r="G100" t="s">
        <v>291</v>
      </c>
      <c r="H100">
        <v>1</v>
      </c>
      <c r="J100" t="s">
        <v>107</v>
      </c>
    </row>
    <row r="101" spans="1:10" ht="21.95" customHeight="1">
      <c r="A101" t="s">
        <v>292</v>
      </c>
      <c r="B101" t="s">
        <v>149</v>
      </c>
      <c r="C101" t="s">
        <v>68</v>
      </c>
      <c r="D101" t="s">
        <v>69</v>
      </c>
      <c r="E101">
        <v>0.38190000000000002</v>
      </c>
      <c r="F101">
        <v>1</v>
      </c>
      <c r="G101" t="s">
        <v>39</v>
      </c>
      <c r="H101">
        <v>1</v>
      </c>
      <c r="I101" t="s">
        <v>116</v>
      </c>
    </row>
    <row r="102" spans="1:10" ht="21.95" customHeight="1">
      <c r="A102" t="s">
        <v>293</v>
      </c>
      <c r="B102" t="s">
        <v>149</v>
      </c>
      <c r="C102" t="s">
        <v>68</v>
      </c>
      <c r="D102" t="s">
        <v>69</v>
      </c>
      <c r="E102">
        <v>0.51300000000000001</v>
      </c>
      <c r="F102">
        <v>4</v>
      </c>
      <c r="G102" t="s">
        <v>294</v>
      </c>
      <c r="H102">
        <v>1</v>
      </c>
      <c r="J102" t="s">
        <v>118</v>
      </c>
    </row>
    <row r="103" spans="1:10" ht="21.95" customHeight="1">
      <c r="A103" t="s">
        <v>295</v>
      </c>
      <c r="B103" t="s">
        <v>149</v>
      </c>
      <c r="C103" t="s">
        <v>68</v>
      </c>
      <c r="D103" t="s">
        <v>69</v>
      </c>
      <c r="E103">
        <v>0.3523</v>
      </c>
      <c r="F103">
        <v>1</v>
      </c>
      <c r="G103" t="s">
        <v>52</v>
      </c>
      <c r="H103">
        <v>2</v>
      </c>
      <c r="I103" t="s">
        <v>130</v>
      </c>
      <c r="J103" t="s">
        <v>130</v>
      </c>
    </row>
    <row r="104" spans="1:10" ht="21.95" customHeight="1">
      <c r="A104" t="s">
        <v>296</v>
      </c>
      <c r="B104" t="s">
        <v>149</v>
      </c>
      <c r="C104" t="s">
        <v>68</v>
      </c>
      <c r="D104" t="s">
        <v>69</v>
      </c>
      <c r="E104">
        <v>0.4541</v>
      </c>
      <c r="F104">
        <v>1</v>
      </c>
      <c r="G104" t="s">
        <v>51</v>
      </c>
      <c r="H104">
        <v>1</v>
      </c>
      <c r="I104" t="s">
        <v>114</v>
      </c>
    </row>
    <row r="105" spans="1:10" ht="21.95" customHeight="1">
      <c r="A105" t="s">
        <v>297</v>
      </c>
      <c r="B105" t="s">
        <v>149</v>
      </c>
      <c r="C105" t="s">
        <v>68</v>
      </c>
      <c r="D105" t="s">
        <v>69</v>
      </c>
      <c r="E105">
        <v>0.31569999999999998</v>
      </c>
      <c r="F105">
        <v>2</v>
      </c>
      <c r="G105" t="s">
        <v>298</v>
      </c>
      <c r="H105">
        <v>1</v>
      </c>
      <c r="J105" t="s">
        <v>107</v>
      </c>
    </row>
    <row r="106" spans="1:10" ht="21.95" customHeight="1">
      <c r="A106" t="s">
        <v>299</v>
      </c>
      <c r="B106" t="s">
        <v>179</v>
      </c>
      <c r="C106" t="s">
        <v>68</v>
      </c>
      <c r="D106" t="s">
        <v>69</v>
      </c>
      <c r="E106">
        <v>0.80330000000000001</v>
      </c>
      <c r="F106">
        <v>5</v>
      </c>
      <c r="G106" t="s">
        <v>300</v>
      </c>
      <c r="H106">
        <v>0</v>
      </c>
    </row>
    <row r="107" spans="1:10" ht="21.95" customHeight="1">
      <c r="A107" t="s">
        <v>301</v>
      </c>
      <c r="B107" t="s">
        <v>179</v>
      </c>
      <c r="C107" t="s">
        <v>68</v>
      </c>
      <c r="D107" t="s">
        <v>69</v>
      </c>
      <c r="E107">
        <v>0.77800000000000002</v>
      </c>
      <c r="F107">
        <v>5</v>
      </c>
      <c r="G107" t="s">
        <v>302</v>
      </c>
      <c r="H107">
        <v>0</v>
      </c>
    </row>
    <row r="108" spans="1:10" ht="21.95" customHeight="1">
      <c r="A108" t="s">
        <v>303</v>
      </c>
      <c r="B108" t="s">
        <v>179</v>
      </c>
      <c r="C108" t="s">
        <v>68</v>
      </c>
      <c r="D108" t="s">
        <v>69</v>
      </c>
      <c r="E108">
        <v>0.77270000000000005</v>
      </c>
      <c r="F108">
        <v>4</v>
      </c>
      <c r="G108" t="s">
        <v>304</v>
      </c>
      <c r="H108">
        <v>0</v>
      </c>
    </row>
    <row r="109" spans="1:10" ht="21.95" customHeight="1">
      <c r="A109" t="s">
        <v>305</v>
      </c>
      <c r="B109" t="s">
        <v>179</v>
      </c>
      <c r="C109" t="s">
        <v>68</v>
      </c>
      <c r="D109" t="s">
        <v>69</v>
      </c>
      <c r="E109">
        <v>0.77380000000000004</v>
      </c>
      <c r="F109">
        <v>3</v>
      </c>
      <c r="G109" t="s">
        <v>306</v>
      </c>
      <c r="H109">
        <v>0</v>
      </c>
    </row>
    <row r="110" spans="1:10" ht="21.95" customHeight="1">
      <c r="A110" t="s">
        <v>307</v>
      </c>
      <c r="B110" t="s">
        <v>179</v>
      </c>
      <c r="C110" t="s">
        <v>68</v>
      </c>
      <c r="D110" t="s">
        <v>69</v>
      </c>
      <c r="E110">
        <v>0.79249999999999998</v>
      </c>
      <c r="F110">
        <v>3</v>
      </c>
      <c r="G110" t="s">
        <v>308</v>
      </c>
      <c r="H110">
        <v>1</v>
      </c>
      <c r="I110" t="s">
        <v>107</v>
      </c>
    </row>
    <row r="111" spans="1:10" ht="21.95" customHeight="1">
      <c r="A111" t="s">
        <v>309</v>
      </c>
      <c r="B111" t="s">
        <v>142</v>
      </c>
      <c r="C111" t="s">
        <v>70</v>
      </c>
      <c r="D111" t="s">
        <v>71</v>
      </c>
      <c r="E111">
        <v>0.30530000000000002</v>
      </c>
      <c r="F111">
        <v>1</v>
      </c>
      <c r="G111" t="s">
        <v>41</v>
      </c>
      <c r="H111">
        <v>1</v>
      </c>
      <c r="J111" t="s">
        <v>120</v>
      </c>
    </row>
    <row r="112" spans="1:10" ht="21.95" customHeight="1">
      <c r="A112" t="s">
        <v>310</v>
      </c>
      <c r="B112" t="s">
        <v>142</v>
      </c>
      <c r="C112" t="s">
        <v>70</v>
      </c>
      <c r="D112" t="s">
        <v>71</v>
      </c>
      <c r="E112">
        <v>0.26840000000000003</v>
      </c>
      <c r="F112">
        <v>1</v>
      </c>
      <c r="G112" t="s">
        <v>51</v>
      </c>
      <c r="H112">
        <v>2</v>
      </c>
      <c r="I112" t="s">
        <v>109</v>
      </c>
      <c r="J112" t="s">
        <v>109</v>
      </c>
    </row>
    <row r="113" spans="1:10" ht="21.95" customHeight="1">
      <c r="A113" t="s">
        <v>311</v>
      </c>
      <c r="B113" t="s">
        <v>142</v>
      </c>
      <c r="C113" t="s">
        <v>70</v>
      </c>
      <c r="D113" t="s">
        <v>71</v>
      </c>
      <c r="E113">
        <v>0.29899999999999999</v>
      </c>
      <c r="F113">
        <v>1</v>
      </c>
      <c r="G113" t="s">
        <v>51</v>
      </c>
      <c r="H113">
        <v>0</v>
      </c>
    </row>
    <row r="114" spans="1:10" ht="21.95" customHeight="1">
      <c r="A114" t="s">
        <v>312</v>
      </c>
      <c r="B114" t="s">
        <v>142</v>
      </c>
      <c r="C114" t="s">
        <v>70</v>
      </c>
      <c r="D114" t="s">
        <v>71</v>
      </c>
      <c r="E114">
        <v>0.28860000000000002</v>
      </c>
      <c r="F114">
        <v>1</v>
      </c>
      <c r="G114" t="s">
        <v>51</v>
      </c>
      <c r="H114">
        <v>0</v>
      </c>
    </row>
    <row r="115" spans="1:10" ht="21.95" customHeight="1">
      <c r="A115" t="s">
        <v>313</v>
      </c>
      <c r="B115" t="s">
        <v>142</v>
      </c>
      <c r="C115" t="s">
        <v>70</v>
      </c>
      <c r="D115" t="s">
        <v>71</v>
      </c>
      <c r="E115">
        <v>0.2266</v>
      </c>
      <c r="F115">
        <v>1</v>
      </c>
      <c r="G115" t="s">
        <v>51</v>
      </c>
      <c r="H115">
        <v>1</v>
      </c>
      <c r="J115" t="s">
        <v>114</v>
      </c>
    </row>
    <row r="116" spans="1:10" ht="21.95" customHeight="1">
      <c r="A116" t="s">
        <v>314</v>
      </c>
      <c r="B116" t="s">
        <v>142</v>
      </c>
      <c r="C116" t="s">
        <v>70</v>
      </c>
      <c r="D116" t="s">
        <v>71</v>
      </c>
      <c r="E116">
        <v>0.2586</v>
      </c>
      <c r="F116">
        <v>1</v>
      </c>
      <c r="G116" t="s">
        <v>51</v>
      </c>
      <c r="H116">
        <v>0</v>
      </c>
    </row>
    <row r="117" spans="1:10" ht="21.95" customHeight="1">
      <c r="A117" t="s">
        <v>315</v>
      </c>
      <c r="B117" t="s">
        <v>179</v>
      </c>
      <c r="C117" t="s">
        <v>70</v>
      </c>
      <c r="D117" t="s">
        <v>71</v>
      </c>
      <c r="E117">
        <v>0.54490000000000005</v>
      </c>
      <c r="F117">
        <v>1</v>
      </c>
      <c r="G117" t="s">
        <v>51</v>
      </c>
      <c r="H117">
        <v>0</v>
      </c>
    </row>
    <row r="118" spans="1:10" ht="21.95" customHeight="1">
      <c r="A118" t="s">
        <v>316</v>
      </c>
      <c r="B118" t="s">
        <v>179</v>
      </c>
      <c r="C118" t="s">
        <v>70</v>
      </c>
      <c r="D118" t="s">
        <v>71</v>
      </c>
      <c r="E118">
        <v>0.38100000000000001</v>
      </c>
      <c r="F118">
        <v>1</v>
      </c>
      <c r="G118" t="s">
        <v>51</v>
      </c>
      <c r="H118">
        <v>0</v>
      </c>
    </row>
    <row r="119" spans="1:10" ht="21.95" customHeight="1">
      <c r="A119" t="s">
        <v>317</v>
      </c>
      <c r="B119" t="s">
        <v>179</v>
      </c>
      <c r="C119" t="s">
        <v>70</v>
      </c>
      <c r="D119" t="s">
        <v>71</v>
      </c>
      <c r="E119">
        <v>0.38269999999999998</v>
      </c>
      <c r="F119">
        <v>1</v>
      </c>
      <c r="G119" t="s">
        <v>51</v>
      </c>
      <c r="H119">
        <v>1</v>
      </c>
      <c r="J119" t="s">
        <v>130</v>
      </c>
    </row>
    <row r="120" spans="1:10" ht="21.95" customHeight="1">
      <c r="A120" t="s">
        <v>318</v>
      </c>
      <c r="B120" t="s">
        <v>179</v>
      </c>
      <c r="C120" t="s">
        <v>70</v>
      </c>
      <c r="D120" t="s">
        <v>71</v>
      </c>
      <c r="E120">
        <v>0.32479999999999998</v>
      </c>
      <c r="F120">
        <v>1</v>
      </c>
      <c r="G120" t="s">
        <v>52</v>
      </c>
      <c r="H120">
        <v>0</v>
      </c>
    </row>
    <row r="121" spans="1:10" ht="21.95" customHeight="1">
      <c r="A121" t="s">
        <v>319</v>
      </c>
      <c r="B121" t="s">
        <v>142</v>
      </c>
      <c r="C121" t="s">
        <v>72</v>
      </c>
      <c r="D121" t="s">
        <v>73</v>
      </c>
      <c r="E121">
        <v>0.34160000000000001</v>
      </c>
      <c r="F121">
        <v>4</v>
      </c>
      <c r="G121" t="s">
        <v>320</v>
      </c>
      <c r="H121">
        <v>1</v>
      </c>
      <c r="J121" t="s">
        <v>107</v>
      </c>
    </row>
    <row r="122" spans="1:10" ht="21.95" customHeight="1">
      <c r="A122" t="s">
        <v>321</v>
      </c>
      <c r="B122" t="s">
        <v>142</v>
      </c>
      <c r="C122" t="s">
        <v>72</v>
      </c>
      <c r="D122" t="s">
        <v>73</v>
      </c>
      <c r="E122">
        <v>0.29480000000000001</v>
      </c>
      <c r="F122">
        <v>4</v>
      </c>
      <c r="G122" t="s">
        <v>322</v>
      </c>
      <c r="H122">
        <v>1</v>
      </c>
      <c r="I122" t="s">
        <v>107</v>
      </c>
    </row>
    <row r="123" spans="1:10" ht="21.95" customHeight="1">
      <c r="A123" t="s">
        <v>323</v>
      </c>
      <c r="B123" t="s">
        <v>142</v>
      </c>
      <c r="C123" t="s">
        <v>72</v>
      </c>
      <c r="D123" t="s">
        <v>73</v>
      </c>
      <c r="E123">
        <v>0.27310000000000001</v>
      </c>
      <c r="F123">
        <v>2</v>
      </c>
      <c r="G123" t="s">
        <v>324</v>
      </c>
      <c r="H123">
        <v>1</v>
      </c>
      <c r="J123" t="s">
        <v>114</v>
      </c>
    </row>
    <row r="124" spans="1:10" ht="21.95" customHeight="1">
      <c r="A124" t="s">
        <v>325</v>
      </c>
      <c r="B124" t="s">
        <v>142</v>
      </c>
      <c r="C124" t="s">
        <v>72</v>
      </c>
      <c r="D124" t="s">
        <v>73</v>
      </c>
      <c r="E124">
        <v>0.25230000000000002</v>
      </c>
      <c r="F124">
        <v>2</v>
      </c>
      <c r="G124" t="s">
        <v>157</v>
      </c>
      <c r="H124">
        <v>1</v>
      </c>
      <c r="J124" t="s">
        <v>105</v>
      </c>
    </row>
    <row r="125" spans="1:10" ht="21.95" customHeight="1">
      <c r="A125" t="s">
        <v>326</v>
      </c>
      <c r="B125" t="s">
        <v>142</v>
      </c>
      <c r="C125" t="s">
        <v>72</v>
      </c>
      <c r="D125" t="s">
        <v>73</v>
      </c>
      <c r="E125">
        <v>0.23480000000000001</v>
      </c>
      <c r="F125">
        <v>1</v>
      </c>
      <c r="G125" t="s">
        <v>51</v>
      </c>
      <c r="H125">
        <v>1</v>
      </c>
      <c r="I125" t="s">
        <v>128</v>
      </c>
    </row>
    <row r="126" spans="1:10" ht="21.95" customHeight="1">
      <c r="A126" t="s">
        <v>327</v>
      </c>
      <c r="B126" t="s">
        <v>149</v>
      </c>
      <c r="C126" t="s">
        <v>72</v>
      </c>
      <c r="D126" t="s">
        <v>73</v>
      </c>
      <c r="E126">
        <v>0.3196</v>
      </c>
      <c r="F126">
        <v>1</v>
      </c>
      <c r="G126" t="s">
        <v>45</v>
      </c>
      <c r="H126">
        <v>1</v>
      </c>
      <c r="J126" t="s">
        <v>124</v>
      </c>
    </row>
    <row r="127" spans="1:10" ht="21.95" customHeight="1">
      <c r="A127" t="s">
        <v>328</v>
      </c>
      <c r="B127" t="s">
        <v>149</v>
      </c>
      <c r="C127" t="s">
        <v>72</v>
      </c>
      <c r="D127" t="s">
        <v>73</v>
      </c>
      <c r="E127">
        <v>0.31869999999999998</v>
      </c>
      <c r="F127">
        <v>1</v>
      </c>
      <c r="G127" t="s">
        <v>51</v>
      </c>
      <c r="H127">
        <v>1</v>
      </c>
      <c r="I127" t="s">
        <v>109</v>
      </c>
    </row>
    <row r="128" spans="1:10" ht="21.95" customHeight="1">
      <c r="A128" t="s">
        <v>329</v>
      </c>
      <c r="B128" t="s">
        <v>149</v>
      </c>
      <c r="C128" t="s">
        <v>72</v>
      </c>
      <c r="D128" t="s">
        <v>73</v>
      </c>
      <c r="E128">
        <v>0.32490000000000002</v>
      </c>
      <c r="F128">
        <v>4</v>
      </c>
      <c r="G128" t="s">
        <v>330</v>
      </c>
      <c r="H128">
        <v>1</v>
      </c>
      <c r="J128" t="s">
        <v>120</v>
      </c>
    </row>
    <row r="129" spans="1:10" ht="21.95" customHeight="1">
      <c r="A129" t="s">
        <v>331</v>
      </c>
      <c r="B129" t="s">
        <v>149</v>
      </c>
      <c r="C129" t="s">
        <v>72</v>
      </c>
      <c r="D129" t="s">
        <v>73</v>
      </c>
      <c r="E129">
        <v>0.43619999999999998</v>
      </c>
      <c r="F129">
        <v>2</v>
      </c>
      <c r="G129" t="s">
        <v>157</v>
      </c>
      <c r="H129">
        <v>1</v>
      </c>
      <c r="I129" t="s">
        <v>105</v>
      </c>
    </row>
    <row r="130" spans="1:10" ht="21.95" customHeight="1">
      <c r="A130" t="s">
        <v>332</v>
      </c>
      <c r="B130" t="s">
        <v>149</v>
      </c>
      <c r="C130" t="s">
        <v>72</v>
      </c>
      <c r="D130" t="s">
        <v>73</v>
      </c>
      <c r="E130">
        <v>0.38329999999999997</v>
      </c>
      <c r="F130">
        <v>1</v>
      </c>
      <c r="G130" t="s">
        <v>47</v>
      </c>
      <c r="H130">
        <v>1</v>
      </c>
      <c r="J130" t="s">
        <v>126</v>
      </c>
    </row>
    <row r="131" spans="1:10" ht="21.95" customHeight="1">
      <c r="A131" t="s">
        <v>333</v>
      </c>
      <c r="B131" t="s">
        <v>149</v>
      </c>
      <c r="C131" t="s">
        <v>72</v>
      </c>
      <c r="D131" t="s">
        <v>73</v>
      </c>
      <c r="E131">
        <v>0.28470000000000001</v>
      </c>
      <c r="F131">
        <v>2</v>
      </c>
      <c r="G131" t="s">
        <v>200</v>
      </c>
      <c r="H131">
        <v>1</v>
      </c>
      <c r="J131" t="s">
        <v>109</v>
      </c>
    </row>
    <row r="132" spans="1:10" ht="21.95" customHeight="1">
      <c r="A132" t="s">
        <v>334</v>
      </c>
      <c r="B132" t="s">
        <v>149</v>
      </c>
      <c r="C132" t="s">
        <v>72</v>
      </c>
      <c r="D132" t="s">
        <v>73</v>
      </c>
      <c r="E132">
        <v>0.29320000000000002</v>
      </c>
      <c r="F132">
        <v>2</v>
      </c>
      <c r="G132" t="s">
        <v>198</v>
      </c>
      <c r="H132">
        <v>1</v>
      </c>
      <c r="J132" t="s">
        <v>114</v>
      </c>
    </row>
    <row r="133" spans="1:10" ht="21.95" customHeight="1">
      <c r="A133" t="s">
        <v>335</v>
      </c>
      <c r="B133" t="s">
        <v>149</v>
      </c>
      <c r="C133" t="s">
        <v>72</v>
      </c>
      <c r="D133" t="s">
        <v>73</v>
      </c>
      <c r="E133">
        <v>0.45579999999999998</v>
      </c>
      <c r="F133">
        <v>1</v>
      </c>
      <c r="G133" t="s">
        <v>45</v>
      </c>
      <c r="H133">
        <v>2</v>
      </c>
      <c r="I133" t="s">
        <v>116</v>
      </c>
      <c r="J133" t="s">
        <v>116</v>
      </c>
    </row>
    <row r="134" spans="1:10" ht="21.95" customHeight="1">
      <c r="A134" t="s">
        <v>336</v>
      </c>
      <c r="B134" t="s">
        <v>149</v>
      </c>
      <c r="C134" t="s">
        <v>72</v>
      </c>
      <c r="D134" t="s">
        <v>73</v>
      </c>
      <c r="E134">
        <v>0.3478</v>
      </c>
      <c r="F134">
        <v>1</v>
      </c>
      <c r="G134" t="s">
        <v>45</v>
      </c>
      <c r="H134">
        <v>2</v>
      </c>
      <c r="I134" t="s">
        <v>105</v>
      </c>
      <c r="J134" t="s">
        <v>105</v>
      </c>
    </row>
    <row r="135" spans="1:10" ht="21.95" customHeight="1">
      <c r="A135" t="s">
        <v>337</v>
      </c>
      <c r="B135" t="s">
        <v>149</v>
      </c>
      <c r="C135" t="s">
        <v>72</v>
      </c>
      <c r="D135" t="s">
        <v>73</v>
      </c>
      <c r="E135">
        <v>0.30220000000000002</v>
      </c>
      <c r="F135">
        <v>3</v>
      </c>
      <c r="G135" t="s">
        <v>338</v>
      </c>
      <c r="H135">
        <v>1</v>
      </c>
      <c r="I135" t="s">
        <v>105</v>
      </c>
    </row>
    <row r="136" spans="1:10" ht="21.95" customHeight="1">
      <c r="A136" t="s">
        <v>339</v>
      </c>
      <c r="B136" t="s">
        <v>149</v>
      </c>
      <c r="C136" t="s">
        <v>72</v>
      </c>
      <c r="D136" t="s">
        <v>73</v>
      </c>
      <c r="E136">
        <v>0.25330000000000003</v>
      </c>
      <c r="F136">
        <v>2</v>
      </c>
      <c r="G136" t="s">
        <v>157</v>
      </c>
      <c r="H136">
        <v>1</v>
      </c>
      <c r="J136" t="s">
        <v>105</v>
      </c>
    </row>
    <row r="137" spans="1:10" ht="21.95" customHeight="1">
      <c r="A137" t="s">
        <v>340</v>
      </c>
      <c r="B137" t="s">
        <v>149</v>
      </c>
      <c r="C137" t="s">
        <v>72</v>
      </c>
      <c r="D137" t="s">
        <v>73</v>
      </c>
      <c r="E137">
        <v>0.29170000000000001</v>
      </c>
      <c r="F137">
        <v>1</v>
      </c>
      <c r="G137" t="s">
        <v>46</v>
      </c>
      <c r="H137">
        <v>1</v>
      </c>
      <c r="J137" t="s">
        <v>105</v>
      </c>
    </row>
    <row r="138" spans="1:10" ht="21.95" customHeight="1">
      <c r="A138" t="s">
        <v>341</v>
      </c>
      <c r="B138" t="s">
        <v>149</v>
      </c>
      <c r="C138" t="s">
        <v>72</v>
      </c>
      <c r="D138" t="s">
        <v>73</v>
      </c>
      <c r="E138">
        <v>0.4209</v>
      </c>
      <c r="F138">
        <v>4</v>
      </c>
      <c r="G138" t="s">
        <v>342</v>
      </c>
      <c r="H138">
        <v>1</v>
      </c>
      <c r="I138" t="s">
        <v>126</v>
      </c>
    </row>
    <row r="139" spans="1:10" ht="21.95" customHeight="1">
      <c r="A139" t="s">
        <v>343</v>
      </c>
      <c r="B139" t="s">
        <v>149</v>
      </c>
      <c r="C139" t="s">
        <v>72</v>
      </c>
      <c r="D139" t="s">
        <v>73</v>
      </c>
      <c r="E139">
        <v>0.33250000000000002</v>
      </c>
      <c r="F139">
        <v>2</v>
      </c>
      <c r="G139" t="s">
        <v>344</v>
      </c>
      <c r="H139">
        <v>1</v>
      </c>
      <c r="I139" t="s">
        <v>130</v>
      </c>
    </row>
    <row r="140" spans="1:10" ht="21.95" customHeight="1">
      <c r="A140" t="s">
        <v>345</v>
      </c>
      <c r="B140" t="s">
        <v>149</v>
      </c>
      <c r="C140" t="s">
        <v>72</v>
      </c>
      <c r="D140" t="s">
        <v>73</v>
      </c>
      <c r="E140">
        <v>0.3175</v>
      </c>
      <c r="F140">
        <v>2</v>
      </c>
      <c r="G140" t="s">
        <v>346</v>
      </c>
      <c r="H140">
        <v>1</v>
      </c>
      <c r="J140" t="s">
        <v>114</v>
      </c>
    </row>
    <row r="141" spans="1:10" ht="21.95" customHeight="1">
      <c r="A141" t="s">
        <v>347</v>
      </c>
      <c r="B141" t="s">
        <v>149</v>
      </c>
      <c r="C141" t="s">
        <v>72</v>
      </c>
      <c r="D141" t="s">
        <v>73</v>
      </c>
      <c r="E141">
        <v>0.30520000000000003</v>
      </c>
      <c r="F141">
        <v>1</v>
      </c>
      <c r="G141" t="s">
        <v>51</v>
      </c>
      <c r="H141">
        <v>2</v>
      </c>
      <c r="I141" t="s">
        <v>105</v>
      </c>
      <c r="J141" t="s">
        <v>105</v>
      </c>
    </row>
    <row r="142" spans="1:10" ht="21.95" customHeight="1">
      <c r="A142" t="s">
        <v>348</v>
      </c>
      <c r="B142" t="s">
        <v>149</v>
      </c>
      <c r="C142" t="s">
        <v>72</v>
      </c>
      <c r="D142" t="s">
        <v>73</v>
      </c>
      <c r="E142">
        <v>0.2697</v>
      </c>
      <c r="F142">
        <v>1</v>
      </c>
      <c r="G142" t="s">
        <v>38</v>
      </c>
      <c r="H142">
        <v>1</v>
      </c>
      <c r="J142" t="s">
        <v>114</v>
      </c>
    </row>
    <row r="143" spans="1:10" ht="21.95" customHeight="1">
      <c r="A143" t="s">
        <v>349</v>
      </c>
      <c r="B143" t="s">
        <v>149</v>
      </c>
      <c r="C143" t="s">
        <v>72</v>
      </c>
      <c r="D143" t="s">
        <v>73</v>
      </c>
      <c r="E143">
        <v>0.41160000000000002</v>
      </c>
      <c r="F143">
        <v>3</v>
      </c>
      <c r="G143" t="s">
        <v>350</v>
      </c>
      <c r="H143">
        <v>2</v>
      </c>
      <c r="I143" t="s">
        <v>126</v>
      </c>
      <c r="J143" t="s">
        <v>126</v>
      </c>
    </row>
    <row r="144" spans="1:10" ht="21.95" customHeight="1">
      <c r="A144" t="s">
        <v>351</v>
      </c>
      <c r="B144" t="s">
        <v>149</v>
      </c>
      <c r="C144" t="s">
        <v>72</v>
      </c>
      <c r="D144" t="s">
        <v>73</v>
      </c>
      <c r="E144">
        <v>0.3574</v>
      </c>
      <c r="F144">
        <v>3</v>
      </c>
      <c r="G144" t="s">
        <v>338</v>
      </c>
      <c r="H144">
        <v>1</v>
      </c>
      <c r="J144" t="s">
        <v>105</v>
      </c>
    </row>
    <row r="145" spans="1:10" ht="21.95" customHeight="1">
      <c r="A145" t="s">
        <v>352</v>
      </c>
      <c r="B145" t="s">
        <v>149</v>
      </c>
      <c r="C145" t="s">
        <v>72</v>
      </c>
      <c r="D145" t="s">
        <v>73</v>
      </c>
      <c r="E145">
        <v>0.2485</v>
      </c>
      <c r="F145">
        <v>3</v>
      </c>
      <c r="G145" t="s">
        <v>353</v>
      </c>
      <c r="H145">
        <v>1</v>
      </c>
      <c r="I145" t="s">
        <v>105</v>
      </c>
    </row>
    <row r="146" spans="1:10" ht="21.95" customHeight="1">
      <c r="A146" t="s">
        <v>354</v>
      </c>
      <c r="B146" t="s">
        <v>149</v>
      </c>
      <c r="C146" t="s">
        <v>72</v>
      </c>
      <c r="D146" t="s">
        <v>73</v>
      </c>
      <c r="E146">
        <v>0.44700000000000001</v>
      </c>
      <c r="F146">
        <v>1</v>
      </c>
      <c r="G146" t="s">
        <v>51</v>
      </c>
      <c r="H146">
        <v>1</v>
      </c>
      <c r="J146" t="s">
        <v>122</v>
      </c>
    </row>
    <row r="147" spans="1:10" ht="21.95" customHeight="1">
      <c r="A147" t="s">
        <v>355</v>
      </c>
      <c r="B147" t="s">
        <v>149</v>
      </c>
      <c r="C147" t="s">
        <v>72</v>
      </c>
      <c r="D147" t="s">
        <v>73</v>
      </c>
      <c r="E147">
        <v>0.48149999999999998</v>
      </c>
      <c r="F147">
        <v>2</v>
      </c>
      <c r="G147" t="s">
        <v>356</v>
      </c>
      <c r="H147">
        <v>1</v>
      </c>
      <c r="J147" t="s">
        <v>105</v>
      </c>
    </row>
    <row r="148" spans="1:10" ht="21.95" customHeight="1">
      <c r="A148" t="s">
        <v>357</v>
      </c>
      <c r="B148" t="s">
        <v>149</v>
      </c>
      <c r="C148" t="s">
        <v>72</v>
      </c>
      <c r="D148" t="s">
        <v>73</v>
      </c>
      <c r="E148">
        <v>0.35809999999999997</v>
      </c>
      <c r="F148">
        <v>1</v>
      </c>
      <c r="G148" t="s">
        <v>51</v>
      </c>
      <c r="H148">
        <v>1</v>
      </c>
      <c r="J148" t="s">
        <v>105</v>
      </c>
    </row>
    <row r="149" spans="1:10" ht="21.95" customHeight="1">
      <c r="A149" t="s">
        <v>358</v>
      </c>
      <c r="B149" t="s">
        <v>149</v>
      </c>
      <c r="C149" t="s">
        <v>72</v>
      </c>
      <c r="D149" t="s">
        <v>73</v>
      </c>
      <c r="E149">
        <v>0.2802</v>
      </c>
      <c r="F149">
        <v>3</v>
      </c>
      <c r="G149" t="s">
        <v>359</v>
      </c>
      <c r="H149">
        <v>1</v>
      </c>
      <c r="I149" t="s">
        <v>107</v>
      </c>
    </row>
    <row r="150" spans="1:10" ht="21.95" customHeight="1">
      <c r="A150" t="s">
        <v>360</v>
      </c>
      <c r="B150" t="s">
        <v>149</v>
      </c>
      <c r="C150" t="s">
        <v>72</v>
      </c>
      <c r="D150" t="s">
        <v>73</v>
      </c>
      <c r="E150">
        <v>0.50860000000000005</v>
      </c>
      <c r="F150">
        <v>3</v>
      </c>
      <c r="G150" t="s">
        <v>361</v>
      </c>
      <c r="H150">
        <v>1</v>
      </c>
      <c r="J150" t="s">
        <v>105</v>
      </c>
    </row>
    <row r="151" spans="1:10" ht="21.95" customHeight="1">
      <c r="A151" t="s">
        <v>362</v>
      </c>
      <c r="B151" t="s">
        <v>149</v>
      </c>
      <c r="C151" t="s">
        <v>72</v>
      </c>
      <c r="D151" t="s">
        <v>73</v>
      </c>
      <c r="E151">
        <v>0.29720000000000002</v>
      </c>
      <c r="F151">
        <v>2</v>
      </c>
      <c r="G151" t="s">
        <v>157</v>
      </c>
      <c r="H151">
        <v>1</v>
      </c>
      <c r="I151" t="s">
        <v>114</v>
      </c>
    </row>
    <row r="152" spans="1:10" ht="21.95" customHeight="1">
      <c r="A152" t="s">
        <v>363</v>
      </c>
      <c r="B152" t="s">
        <v>179</v>
      </c>
      <c r="C152" t="s">
        <v>72</v>
      </c>
      <c r="D152" t="s">
        <v>73</v>
      </c>
      <c r="E152">
        <v>0.53380000000000005</v>
      </c>
      <c r="F152">
        <v>3</v>
      </c>
      <c r="G152" t="s">
        <v>364</v>
      </c>
      <c r="H152">
        <v>0</v>
      </c>
    </row>
    <row r="153" spans="1:10" ht="21.95" customHeight="1">
      <c r="A153" t="s">
        <v>365</v>
      </c>
      <c r="B153" t="s">
        <v>179</v>
      </c>
      <c r="C153" t="s">
        <v>72</v>
      </c>
      <c r="D153" t="s">
        <v>73</v>
      </c>
      <c r="E153">
        <v>0.5998</v>
      </c>
      <c r="F153">
        <v>2</v>
      </c>
      <c r="G153" t="s">
        <v>366</v>
      </c>
      <c r="H153">
        <v>0</v>
      </c>
    </row>
    <row r="154" spans="1:10" ht="21.95" customHeight="1">
      <c r="A154" t="s">
        <v>367</v>
      </c>
      <c r="B154" t="s">
        <v>179</v>
      </c>
      <c r="C154" t="s">
        <v>72</v>
      </c>
      <c r="D154" t="s">
        <v>73</v>
      </c>
      <c r="E154">
        <v>0.54869999999999997</v>
      </c>
      <c r="F154">
        <v>2</v>
      </c>
      <c r="G154" t="s">
        <v>366</v>
      </c>
      <c r="H154">
        <v>1</v>
      </c>
      <c r="J154" t="s">
        <v>126</v>
      </c>
    </row>
    <row r="155" spans="1:10" ht="21.95" customHeight="1">
      <c r="A155" t="s">
        <v>368</v>
      </c>
      <c r="B155" t="s">
        <v>179</v>
      </c>
      <c r="C155" t="s">
        <v>72</v>
      </c>
      <c r="D155" t="s">
        <v>73</v>
      </c>
      <c r="E155">
        <v>0.61209999999999998</v>
      </c>
      <c r="F155">
        <v>1</v>
      </c>
      <c r="G155" t="s">
        <v>47</v>
      </c>
      <c r="H155">
        <v>0</v>
      </c>
    </row>
    <row r="156" spans="1:10" ht="21.95" customHeight="1">
      <c r="A156" t="s">
        <v>369</v>
      </c>
      <c r="B156" t="s">
        <v>179</v>
      </c>
      <c r="C156" t="s">
        <v>72</v>
      </c>
      <c r="D156" t="s">
        <v>73</v>
      </c>
      <c r="E156">
        <v>0.53400000000000003</v>
      </c>
      <c r="F156">
        <v>1</v>
      </c>
      <c r="G156" t="s">
        <v>46</v>
      </c>
      <c r="H156">
        <v>1</v>
      </c>
      <c r="I156" t="s">
        <v>109</v>
      </c>
    </row>
    <row r="157" spans="1:10" ht="21.95" customHeight="1">
      <c r="A157" t="s">
        <v>370</v>
      </c>
      <c r="B157" t="s">
        <v>142</v>
      </c>
      <c r="C157" t="s">
        <v>74</v>
      </c>
      <c r="D157" t="s">
        <v>75</v>
      </c>
      <c r="E157">
        <v>0.26119999999999999</v>
      </c>
      <c r="F157">
        <v>1</v>
      </c>
      <c r="G157" t="s">
        <v>52</v>
      </c>
      <c r="H157">
        <v>1</v>
      </c>
      <c r="I157" t="s">
        <v>118</v>
      </c>
    </row>
    <row r="158" spans="1:10" ht="21.95" customHeight="1">
      <c r="A158" t="s">
        <v>371</v>
      </c>
      <c r="B158" t="s">
        <v>142</v>
      </c>
      <c r="C158" t="s">
        <v>74</v>
      </c>
      <c r="D158" t="s">
        <v>75</v>
      </c>
      <c r="E158">
        <v>0.22839999999999999</v>
      </c>
      <c r="F158">
        <v>1</v>
      </c>
      <c r="G158" t="s">
        <v>51</v>
      </c>
      <c r="H158">
        <v>1</v>
      </c>
      <c r="J158" t="s">
        <v>105</v>
      </c>
    </row>
    <row r="159" spans="1:10" ht="21.95" customHeight="1">
      <c r="A159" t="s">
        <v>372</v>
      </c>
      <c r="B159" t="s">
        <v>142</v>
      </c>
      <c r="C159" t="s">
        <v>74</v>
      </c>
      <c r="D159" t="s">
        <v>75</v>
      </c>
      <c r="E159">
        <v>0.2792</v>
      </c>
      <c r="F159">
        <v>3</v>
      </c>
      <c r="G159" t="s">
        <v>373</v>
      </c>
      <c r="H159">
        <v>1</v>
      </c>
      <c r="I159" t="s">
        <v>130</v>
      </c>
    </row>
    <row r="160" spans="1:10" ht="21.95" customHeight="1">
      <c r="A160" t="s">
        <v>374</v>
      </c>
      <c r="B160" t="s">
        <v>142</v>
      </c>
      <c r="C160" t="s">
        <v>74</v>
      </c>
      <c r="D160" t="s">
        <v>75</v>
      </c>
      <c r="E160">
        <v>0.28299999999999997</v>
      </c>
      <c r="F160">
        <v>1</v>
      </c>
      <c r="G160" t="s">
        <v>51</v>
      </c>
      <c r="H160">
        <v>1</v>
      </c>
      <c r="I160" t="s">
        <v>112</v>
      </c>
    </row>
    <row r="161" spans="1:10" ht="21.95" customHeight="1">
      <c r="A161" t="s">
        <v>375</v>
      </c>
      <c r="B161" t="s">
        <v>142</v>
      </c>
      <c r="C161" t="s">
        <v>74</v>
      </c>
      <c r="D161" t="s">
        <v>75</v>
      </c>
      <c r="E161">
        <v>0.35389999999999999</v>
      </c>
      <c r="F161">
        <v>1</v>
      </c>
      <c r="G161" t="s">
        <v>52</v>
      </c>
      <c r="H161">
        <v>2</v>
      </c>
      <c r="I161" t="s">
        <v>114</v>
      </c>
      <c r="J161" t="s">
        <v>114</v>
      </c>
    </row>
    <row r="162" spans="1:10" ht="21.95" customHeight="1">
      <c r="A162" t="s">
        <v>376</v>
      </c>
      <c r="B162" t="s">
        <v>149</v>
      </c>
      <c r="C162" t="s">
        <v>74</v>
      </c>
      <c r="D162" t="s">
        <v>75</v>
      </c>
      <c r="E162">
        <v>0.33410000000000001</v>
      </c>
      <c r="F162">
        <v>1</v>
      </c>
      <c r="G162" t="s">
        <v>51</v>
      </c>
      <c r="H162">
        <v>1</v>
      </c>
      <c r="J162" t="s">
        <v>126</v>
      </c>
    </row>
    <row r="163" spans="1:10" ht="21.95" customHeight="1">
      <c r="A163" t="s">
        <v>377</v>
      </c>
      <c r="B163" t="s">
        <v>149</v>
      </c>
      <c r="C163" t="s">
        <v>74</v>
      </c>
      <c r="D163" t="s">
        <v>75</v>
      </c>
      <c r="E163">
        <v>0.31040000000000001</v>
      </c>
      <c r="F163">
        <v>1</v>
      </c>
      <c r="G163" t="s">
        <v>46</v>
      </c>
      <c r="H163">
        <v>1</v>
      </c>
      <c r="I163" t="s">
        <v>105</v>
      </c>
    </row>
    <row r="164" spans="1:10" ht="21.95" customHeight="1">
      <c r="A164" t="s">
        <v>378</v>
      </c>
      <c r="B164" t="s">
        <v>149</v>
      </c>
      <c r="C164" t="s">
        <v>74</v>
      </c>
      <c r="D164" t="s">
        <v>75</v>
      </c>
      <c r="E164">
        <v>0.31769999999999998</v>
      </c>
      <c r="F164">
        <v>1</v>
      </c>
      <c r="G164" t="s">
        <v>52</v>
      </c>
      <c r="H164">
        <v>1</v>
      </c>
      <c r="J164" t="s">
        <v>122</v>
      </c>
    </row>
    <row r="165" spans="1:10" ht="21.95" customHeight="1">
      <c r="A165" t="s">
        <v>379</v>
      </c>
      <c r="B165" t="s">
        <v>149</v>
      </c>
      <c r="C165" t="s">
        <v>74</v>
      </c>
      <c r="D165" t="s">
        <v>75</v>
      </c>
      <c r="E165">
        <v>0.33950000000000002</v>
      </c>
      <c r="F165">
        <v>1</v>
      </c>
      <c r="G165" t="s">
        <v>52</v>
      </c>
      <c r="H165">
        <v>1</v>
      </c>
      <c r="I165" t="s">
        <v>112</v>
      </c>
    </row>
    <row r="166" spans="1:10" ht="21.95" customHeight="1">
      <c r="A166" t="s">
        <v>380</v>
      </c>
      <c r="B166" t="s">
        <v>149</v>
      </c>
      <c r="C166" t="s">
        <v>74</v>
      </c>
      <c r="D166" t="s">
        <v>75</v>
      </c>
      <c r="E166">
        <v>0.4163</v>
      </c>
      <c r="F166">
        <v>1</v>
      </c>
      <c r="G166" t="s">
        <v>52</v>
      </c>
      <c r="H166">
        <v>1</v>
      </c>
      <c r="I166" t="s">
        <v>114</v>
      </c>
    </row>
    <row r="167" spans="1:10" ht="21.95" customHeight="1">
      <c r="A167" t="s">
        <v>381</v>
      </c>
      <c r="B167" t="s">
        <v>149</v>
      </c>
      <c r="C167" t="s">
        <v>74</v>
      </c>
      <c r="D167" t="s">
        <v>75</v>
      </c>
      <c r="E167">
        <v>0.28010000000000002</v>
      </c>
      <c r="F167">
        <v>1</v>
      </c>
      <c r="G167" t="s">
        <v>52</v>
      </c>
      <c r="H167">
        <v>1</v>
      </c>
      <c r="J167" t="s">
        <v>130</v>
      </c>
    </row>
    <row r="168" spans="1:10" ht="21.95" customHeight="1">
      <c r="A168" t="s">
        <v>382</v>
      </c>
      <c r="B168" t="s">
        <v>149</v>
      </c>
      <c r="C168" t="s">
        <v>74</v>
      </c>
      <c r="D168" t="s">
        <v>75</v>
      </c>
      <c r="E168">
        <v>0.31759999999999999</v>
      </c>
      <c r="F168">
        <v>2</v>
      </c>
      <c r="G168" t="s">
        <v>383</v>
      </c>
      <c r="H168">
        <v>1</v>
      </c>
      <c r="J168" t="s">
        <v>122</v>
      </c>
    </row>
    <row r="169" spans="1:10" ht="21.95" customHeight="1">
      <c r="A169" t="s">
        <v>384</v>
      </c>
      <c r="B169" t="s">
        <v>149</v>
      </c>
      <c r="C169" t="s">
        <v>74</v>
      </c>
      <c r="D169" t="s">
        <v>75</v>
      </c>
      <c r="E169">
        <v>0.30869999999999997</v>
      </c>
      <c r="F169">
        <v>1</v>
      </c>
      <c r="G169" t="s">
        <v>52</v>
      </c>
      <c r="H169">
        <v>1</v>
      </c>
      <c r="I169" t="s">
        <v>114</v>
      </c>
    </row>
    <row r="170" spans="1:10" ht="21.95" customHeight="1">
      <c r="A170" t="s">
        <v>385</v>
      </c>
      <c r="B170" t="s">
        <v>159</v>
      </c>
      <c r="C170" t="s">
        <v>74</v>
      </c>
      <c r="D170" t="s">
        <v>75</v>
      </c>
      <c r="E170">
        <v>0.2853</v>
      </c>
      <c r="F170">
        <v>1</v>
      </c>
      <c r="G170" t="s">
        <v>51</v>
      </c>
      <c r="H170">
        <v>0</v>
      </c>
    </row>
    <row r="171" spans="1:10" ht="21.95" customHeight="1">
      <c r="A171" t="s">
        <v>386</v>
      </c>
      <c r="B171" t="s">
        <v>159</v>
      </c>
      <c r="C171" t="s">
        <v>74</v>
      </c>
      <c r="D171" t="s">
        <v>75</v>
      </c>
      <c r="E171">
        <v>0.39950000000000002</v>
      </c>
      <c r="F171">
        <v>1</v>
      </c>
      <c r="G171" t="s">
        <v>52</v>
      </c>
      <c r="H171">
        <v>0</v>
      </c>
    </row>
    <row r="172" spans="1:10" ht="21.95" customHeight="1">
      <c r="A172" t="s">
        <v>387</v>
      </c>
      <c r="B172" t="s">
        <v>159</v>
      </c>
      <c r="C172" t="s">
        <v>74</v>
      </c>
      <c r="D172" t="s">
        <v>75</v>
      </c>
      <c r="E172">
        <v>0.34189999999999998</v>
      </c>
      <c r="F172">
        <v>1</v>
      </c>
      <c r="G172" t="s">
        <v>52</v>
      </c>
      <c r="H172">
        <v>0</v>
      </c>
    </row>
    <row r="173" spans="1:10" ht="21.95" customHeight="1">
      <c r="A173" t="s">
        <v>388</v>
      </c>
      <c r="B173" t="s">
        <v>159</v>
      </c>
      <c r="C173" t="s">
        <v>74</v>
      </c>
      <c r="D173" t="s">
        <v>75</v>
      </c>
      <c r="E173">
        <v>0.36630000000000001</v>
      </c>
      <c r="F173">
        <v>1</v>
      </c>
      <c r="G173" t="s">
        <v>52</v>
      </c>
      <c r="H173">
        <v>0</v>
      </c>
    </row>
    <row r="174" spans="1:10" ht="21.95" customHeight="1">
      <c r="A174" t="s">
        <v>389</v>
      </c>
      <c r="B174" t="s">
        <v>159</v>
      </c>
      <c r="C174" t="s">
        <v>74</v>
      </c>
      <c r="D174" t="s">
        <v>75</v>
      </c>
      <c r="E174">
        <v>0.27389999999999998</v>
      </c>
      <c r="F174">
        <v>1</v>
      </c>
      <c r="G174" t="s">
        <v>52</v>
      </c>
      <c r="H174">
        <v>0</v>
      </c>
    </row>
    <row r="175" spans="1:10" ht="21.95" customHeight="1">
      <c r="A175" t="s">
        <v>390</v>
      </c>
      <c r="B175" t="s">
        <v>159</v>
      </c>
      <c r="C175" t="s">
        <v>74</v>
      </c>
      <c r="D175" t="s">
        <v>75</v>
      </c>
      <c r="E175">
        <v>0.3175</v>
      </c>
      <c r="F175">
        <v>1</v>
      </c>
      <c r="G175" t="s">
        <v>52</v>
      </c>
      <c r="H175">
        <v>0</v>
      </c>
    </row>
    <row r="176" spans="1:10" ht="21.95" customHeight="1">
      <c r="A176" t="s">
        <v>391</v>
      </c>
      <c r="B176" t="s">
        <v>159</v>
      </c>
      <c r="C176" t="s">
        <v>74</v>
      </c>
      <c r="D176" t="s">
        <v>75</v>
      </c>
      <c r="E176">
        <v>0.35120000000000001</v>
      </c>
      <c r="F176">
        <v>1</v>
      </c>
      <c r="G176" t="s">
        <v>52</v>
      </c>
      <c r="H176">
        <v>0</v>
      </c>
    </row>
    <row r="177" spans="1:10" ht="21.95" customHeight="1">
      <c r="A177" t="s">
        <v>392</v>
      </c>
      <c r="B177" t="s">
        <v>159</v>
      </c>
      <c r="C177" t="s">
        <v>74</v>
      </c>
      <c r="D177" t="s">
        <v>75</v>
      </c>
      <c r="E177">
        <v>0.30609999999999998</v>
      </c>
      <c r="F177">
        <v>1</v>
      </c>
      <c r="G177" t="s">
        <v>52</v>
      </c>
      <c r="H177">
        <v>0</v>
      </c>
    </row>
    <row r="178" spans="1:10" ht="21.95" customHeight="1">
      <c r="A178" t="s">
        <v>393</v>
      </c>
      <c r="B178" t="s">
        <v>159</v>
      </c>
      <c r="C178" t="s">
        <v>74</v>
      </c>
      <c r="D178" t="s">
        <v>75</v>
      </c>
      <c r="E178">
        <v>0.3523</v>
      </c>
      <c r="F178">
        <v>1</v>
      </c>
      <c r="G178" t="s">
        <v>52</v>
      </c>
      <c r="H178">
        <v>0</v>
      </c>
    </row>
    <row r="179" spans="1:10" ht="21.95" customHeight="1">
      <c r="A179" t="s">
        <v>394</v>
      </c>
      <c r="B179" t="s">
        <v>159</v>
      </c>
      <c r="C179" t="s">
        <v>74</v>
      </c>
      <c r="D179" t="s">
        <v>75</v>
      </c>
      <c r="E179">
        <v>0.27089999999999997</v>
      </c>
      <c r="F179">
        <v>1</v>
      </c>
      <c r="G179" t="s">
        <v>51</v>
      </c>
      <c r="H179">
        <v>0</v>
      </c>
    </row>
    <row r="180" spans="1:10" ht="21.95" customHeight="1">
      <c r="A180" t="s">
        <v>395</v>
      </c>
      <c r="B180" t="s">
        <v>159</v>
      </c>
      <c r="C180" t="s">
        <v>74</v>
      </c>
      <c r="D180" t="s">
        <v>75</v>
      </c>
      <c r="E180">
        <v>0.41210000000000002</v>
      </c>
      <c r="F180">
        <v>1</v>
      </c>
      <c r="G180" t="s">
        <v>52</v>
      </c>
      <c r="H180">
        <v>0</v>
      </c>
    </row>
    <row r="181" spans="1:10" ht="21.95" customHeight="1">
      <c r="A181" t="s">
        <v>396</v>
      </c>
      <c r="B181" t="s">
        <v>179</v>
      </c>
      <c r="C181" t="s">
        <v>74</v>
      </c>
      <c r="D181" t="s">
        <v>75</v>
      </c>
      <c r="E181">
        <v>0.4168</v>
      </c>
      <c r="F181">
        <v>1</v>
      </c>
      <c r="G181" t="s">
        <v>52</v>
      </c>
      <c r="H181">
        <v>0</v>
      </c>
    </row>
    <row r="182" spans="1:10" ht="21.95" customHeight="1">
      <c r="A182" t="s">
        <v>397</v>
      </c>
      <c r="B182" t="s">
        <v>179</v>
      </c>
      <c r="C182" t="s">
        <v>74</v>
      </c>
      <c r="D182" t="s">
        <v>75</v>
      </c>
      <c r="E182">
        <v>0.44590000000000002</v>
      </c>
      <c r="F182">
        <v>1</v>
      </c>
      <c r="G182" t="s">
        <v>52</v>
      </c>
      <c r="H182">
        <v>1</v>
      </c>
      <c r="J182" t="s">
        <v>122</v>
      </c>
    </row>
    <row r="183" spans="1:10" ht="21.95" customHeight="1">
      <c r="A183" t="s">
        <v>398</v>
      </c>
      <c r="B183" t="s">
        <v>179</v>
      </c>
      <c r="C183" t="s">
        <v>74</v>
      </c>
      <c r="D183" t="s">
        <v>75</v>
      </c>
      <c r="E183">
        <v>0.49180000000000001</v>
      </c>
      <c r="F183">
        <v>1</v>
      </c>
      <c r="G183" t="s">
        <v>52</v>
      </c>
      <c r="H183">
        <v>1</v>
      </c>
      <c r="I183" t="s">
        <v>116</v>
      </c>
    </row>
    <row r="184" spans="1:10" ht="21.95" customHeight="1">
      <c r="A184" t="s">
        <v>399</v>
      </c>
      <c r="B184" t="s">
        <v>179</v>
      </c>
      <c r="C184" t="s">
        <v>74</v>
      </c>
      <c r="D184" t="s">
        <v>75</v>
      </c>
      <c r="E184">
        <v>0.44950000000000001</v>
      </c>
      <c r="F184">
        <v>1</v>
      </c>
      <c r="G184" t="s">
        <v>52</v>
      </c>
      <c r="H184">
        <v>1</v>
      </c>
      <c r="I184" t="s">
        <v>114</v>
      </c>
    </row>
    <row r="185" spans="1:10" ht="21.95" customHeight="1">
      <c r="A185" t="s">
        <v>400</v>
      </c>
      <c r="B185" t="s">
        <v>179</v>
      </c>
      <c r="C185" t="s">
        <v>74</v>
      </c>
      <c r="D185" t="s">
        <v>75</v>
      </c>
      <c r="E185">
        <v>0.42749999999999999</v>
      </c>
      <c r="F185">
        <v>2</v>
      </c>
      <c r="G185" t="s">
        <v>383</v>
      </c>
      <c r="H185">
        <v>1</v>
      </c>
      <c r="I185" t="s">
        <v>122</v>
      </c>
    </row>
    <row r="186" spans="1:10" ht="21.95" customHeight="1">
      <c r="A186" t="s">
        <v>401</v>
      </c>
      <c r="B186" t="s">
        <v>142</v>
      </c>
      <c r="C186" t="s">
        <v>76</v>
      </c>
      <c r="D186" t="s">
        <v>77</v>
      </c>
      <c r="E186">
        <v>0.28179999999999999</v>
      </c>
      <c r="F186">
        <v>2</v>
      </c>
      <c r="G186" t="s">
        <v>198</v>
      </c>
      <c r="H186">
        <v>1</v>
      </c>
      <c r="I186" t="s">
        <v>114</v>
      </c>
    </row>
    <row r="187" spans="1:10" ht="21.95" customHeight="1">
      <c r="A187" t="s">
        <v>402</v>
      </c>
      <c r="B187" t="s">
        <v>142</v>
      </c>
      <c r="C187" t="s">
        <v>76</v>
      </c>
      <c r="D187" t="s">
        <v>77</v>
      </c>
      <c r="E187">
        <v>0.28449999999999998</v>
      </c>
      <c r="F187">
        <v>3</v>
      </c>
      <c r="G187" t="s">
        <v>359</v>
      </c>
      <c r="H187">
        <v>1</v>
      </c>
      <c r="I187" t="s">
        <v>107</v>
      </c>
    </row>
    <row r="188" spans="1:10" ht="21.95" customHeight="1">
      <c r="A188" t="s">
        <v>403</v>
      </c>
      <c r="B188" t="s">
        <v>142</v>
      </c>
      <c r="C188" t="s">
        <v>76</v>
      </c>
      <c r="D188" t="s">
        <v>77</v>
      </c>
      <c r="E188">
        <v>0.23680000000000001</v>
      </c>
      <c r="F188">
        <v>2</v>
      </c>
      <c r="G188" t="s">
        <v>324</v>
      </c>
      <c r="H188">
        <v>1</v>
      </c>
      <c r="J188" t="s">
        <v>126</v>
      </c>
    </row>
    <row r="189" spans="1:10" ht="21.95" customHeight="1">
      <c r="A189" t="s">
        <v>404</v>
      </c>
      <c r="B189" t="s">
        <v>142</v>
      </c>
      <c r="C189" t="s">
        <v>76</v>
      </c>
      <c r="D189" t="s">
        <v>77</v>
      </c>
      <c r="E189">
        <v>0.36870000000000003</v>
      </c>
      <c r="F189">
        <v>2</v>
      </c>
      <c r="G189" t="s">
        <v>157</v>
      </c>
      <c r="H189">
        <v>2</v>
      </c>
      <c r="I189" t="s">
        <v>114</v>
      </c>
      <c r="J189" t="s">
        <v>114</v>
      </c>
    </row>
    <row r="190" spans="1:10" ht="21.95" customHeight="1">
      <c r="A190" t="s">
        <v>405</v>
      </c>
      <c r="B190" t="s">
        <v>142</v>
      </c>
      <c r="C190" t="s">
        <v>76</v>
      </c>
      <c r="D190" t="s">
        <v>77</v>
      </c>
      <c r="E190">
        <v>0.40310000000000001</v>
      </c>
      <c r="F190">
        <v>1</v>
      </c>
      <c r="G190" t="s">
        <v>43</v>
      </c>
      <c r="H190">
        <v>1</v>
      </c>
      <c r="J190" t="s">
        <v>109</v>
      </c>
    </row>
    <row r="191" spans="1:10" ht="21.95" customHeight="1">
      <c r="A191" t="s">
        <v>406</v>
      </c>
      <c r="B191" t="s">
        <v>246</v>
      </c>
      <c r="C191" t="s">
        <v>76</v>
      </c>
      <c r="D191" t="s">
        <v>77</v>
      </c>
      <c r="E191">
        <v>0.39839999999999998</v>
      </c>
      <c r="F191">
        <v>1</v>
      </c>
      <c r="G191" t="s">
        <v>47</v>
      </c>
      <c r="H191">
        <v>2</v>
      </c>
      <c r="I191" t="s">
        <v>126</v>
      </c>
      <c r="J191" t="s">
        <v>130</v>
      </c>
    </row>
    <row r="192" spans="1:10" ht="21.95" customHeight="1">
      <c r="A192" t="s">
        <v>407</v>
      </c>
      <c r="B192" t="s">
        <v>246</v>
      </c>
      <c r="C192" t="s">
        <v>76</v>
      </c>
      <c r="D192" t="s">
        <v>77</v>
      </c>
      <c r="E192">
        <v>0.48080000000000001</v>
      </c>
      <c r="F192">
        <v>4</v>
      </c>
      <c r="G192" t="s">
        <v>408</v>
      </c>
      <c r="H192">
        <v>2</v>
      </c>
      <c r="I192" t="s">
        <v>105</v>
      </c>
      <c r="J192" t="s">
        <v>107</v>
      </c>
    </row>
    <row r="193" spans="1:10" ht="21.95" customHeight="1">
      <c r="A193" t="s">
        <v>409</v>
      </c>
      <c r="B193" t="s">
        <v>246</v>
      </c>
      <c r="C193" t="s">
        <v>76</v>
      </c>
      <c r="D193" t="s">
        <v>77</v>
      </c>
      <c r="E193">
        <v>0.37309999999999999</v>
      </c>
      <c r="F193">
        <v>1</v>
      </c>
      <c r="G193" t="s">
        <v>50</v>
      </c>
      <c r="H193">
        <v>2</v>
      </c>
      <c r="I193" t="s">
        <v>116</v>
      </c>
      <c r="J193" t="s">
        <v>126</v>
      </c>
    </row>
    <row r="194" spans="1:10" ht="21.95" customHeight="1">
      <c r="A194" t="s">
        <v>410</v>
      </c>
      <c r="B194" t="s">
        <v>149</v>
      </c>
      <c r="C194" t="s">
        <v>76</v>
      </c>
      <c r="D194" t="s">
        <v>77</v>
      </c>
      <c r="E194">
        <v>0.40089999999999998</v>
      </c>
      <c r="F194">
        <v>1</v>
      </c>
      <c r="G194" t="s">
        <v>51</v>
      </c>
      <c r="H194">
        <v>1</v>
      </c>
      <c r="J194" t="s">
        <v>114</v>
      </c>
    </row>
    <row r="195" spans="1:10" ht="21.95" customHeight="1">
      <c r="A195" t="s">
        <v>411</v>
      </c>
      <c r="B195" t="s">
        <v>149</v>
      </c>
      <c r="C195" t="s">
        <v>76</v>
      </c>
      <c r="D195" t="s">
        <v>77</v>
      </c>
      <c r="E195">
        <v>0.40179999999999999</v>
      </c>
      <c r="F195">
        <v>3</v>
      </c>
      <c r="G195" t="s">
        <v>412</v>
      </c>
      <c r="H195">
        <v>2</v>
      </c>
      <c r="I195" t="s">
        <v>107</v>
      </c>
      <c r="J195" t="s">
        <v>107</v>
      </c>
    </row>
    <row r="196" spans="1:10" ht="21.95" customHeight="1">
      <c r="A196" t="s">
        <v>413</v>
      </c>
      <c r="B196" t="s">
        <v>149</v>
      </c>
      <c r="C196" t="s">
        <v>76</v>
      </c>
      <c r="D196" t="s">
        <v>77</v>
      </c>
      <c r="E196">
        <v>0.71040000000000003</v>
      </c>
      <c r="F196">
        <v>2</v>
      </c>
      <c r="G196" t="s">
        <v>414</v>
      </c>
      <c r="H196">
        <v>1</v>
      </c>
      <c r="J196" t="s">
        <v>107</v>
      </c>
    </row>
    <row r="197" spans="1:10" ht="21.95" customHeight="1">
      <c r="A197" t="s">
        <v>415</v>
      </c>
      <c r="B197" t="s">
        <v>149</v>
      </c>
      <c r="C197" t="s">
        <v>76</v>
      </c>
      <c r="D197" t="s">
        <v>77</v>
      </c>
      <c r="E197">
        <v>0.47860000000000003</v>
      </c>
      <c r="F197">
        <v>4</v>
      </c>
      <c r="G197" t="s">
        <v>416</v>
      </c>
      <c r="H197">
        <v>1</v>
      </c>
      <c r="I197" t="s">
        <v>116</v>
      </c>
    </row>
    <row r="198" spans="1:10" ht="21.95" customHeight="1">
      <c r="A198" t="s">
        <v>417</v>
      </c>
      <c r="B198" t="s">
        <v>149</v>
      </c>
      <c r="C198" t="s">
        <v>76</v>
      </c>
      <c r="D198" t="s">
        <v>77</v>
      </c>
      <c r="E198">
        <v>0.58940000000000003</v>
      </c>
      <c r="F198">
        <v>1</v>
      </c>
      <c r="G198" t="s">
        <v>45</v>
      </c>
      <c r="H198">
        <v>1</v>
      </c>
      <c r="J198" t="s">
        <v>114</v>
      </c>
    </row>
    <row r="199" spans="1:10" ht="21.95" customHeight="1">
      <c r="A199" t="s">
        <v>418</v>
      </c>
      <c r="B199" t="s">
        <v>149</v>
      </c>
      <c r="C199" t="s">
        <v>76</v>
      </c>
      <c r="D199" t="s">
        <v>77</v>
      </c>
      <c r="E199">
        <v>0.41539999999999999</v>
      </c>
      <c r="F199">
        <v>3</v>
      </c>
      <c r="G199" t="s">
        <v>419</v>
      </c>
      <c r="H199">
        <v>2</v>
      </c>
      <c r="I199" t="s">
        <v>107</v>
      </c>
      <c r="J199" t="s">
        <v>107</v>
      </c>
    </row>
    <row r="200" spans="1:10" ht="21.95" customHeight="1">
      <c r="A200" t="s">
        <v>420</v>
      </c>
      <c r="B200" t="s">
        <v>149</v>
      </c>
      <c r="C200" t="s">
        <v>76</v>
      </c>
      <c r="D200" t="s">
        <v>77</v>
      </c>
      <c r="E200">
        <v>0.65439999999999998</v>
      </c>
      <c r="F200">
        <v>4</v>
      </c>
      <c r="G200" t="s">
        <v>421</v>
      </c>
      <c r="H200">
        <v>1</v>
      </c>
      <c r="J200" t="s">
        <v>107</v>
      </c>
    </row>
    <row r="201" spans="1:10" ht="21.95" customHeight="1">
      <c r="A201" t="s">
        <v>422</v>
      </c>
      <c r="B201" t="s">
        <v>149</v>
      </c>
      <c r="C201" t="s">
        <v>76</v>
      </c>
      <c r="D201" t="s">
        <v>77</v>
      </c>
      <c r="E201">
        <v>0.52639999999999998</v>
      </c>
      <c r="F201">
        <v>1</v>
      </c>
      <c r="G201" t="s">
        <v>47</v>
      </c>
      <c r="H201">
        <v>1</v>
      </c>
      <c r="J201" t="s">
        <v>126</v>
      </c>
    </row>
    <row r="202" spans="1:10" ht="21.95" customHeight="1">
      <c r="A202" t="s">
        <v>423</v>
      </c>
      <c r="B202" t="s">
        <v>149</v>
      </c>
      <c r="C202" t="s">
        <v>76</v>
      </c>
      <c r="D202" t="s">
        <v>77</v>
      </c>
      <c r="E202">
        <v>0.60409999999999997</v>
      </c>
      <c r="F202">
        <v>2</v>
      </c>
      <c r="G202" t="s">
        <v>424</v>
      </c>
      <c r="H202">
        <v>1</v>
      </c>
      <c r="J202" t="s">
        <v>107</v>
      </c>
    </row>
    <row r="203" spans="1:10" ht="21.95" customHeight="1">
      <c r="A203" t="s">
        <v>425</v>
      </c>
      <c r="B203" t="s">
        <v>149</v>
      </c>
      <c r="C203" t="s">
        <v>76</v>
      </c>
      <c r="D203" t="s">
        <v>77</v>
      </c>
      <c r="E203">
        <v>0.68340000000000001</v>
      </c>
      <c r="F203">
        <v>3</v>
      </c>
      <c r="G203" t="s">
        <v>426</v>
      </c>
      <c r="H203">
        <v>1</v>
      </c>
      <c r="I203" t="s">
        <v>107</v>
      </c>
    </row>
    <row r="204" spans="1:10" ht="21.95" customHeight="1">
      <c r="A204" t="s">
        <v>427</v>
      </c>
      <c r="B204" t="s">
        <v>149</v>
      </c>
      <c r="C204" t="s">
        <v>76</v>
      </c>
      <c r="D204" t="s">
        <v>77</v>
      </c>
      <c r="E204">
        <v>0.46489999999999998</v>
      </c>
      <c r="F204">
        <v>3</v>
      </c>
      <c r="G204" t="s">
        <v>428</v>
      </c>
      <c r="H204">
        <v>1</v>
      </c>
      <c r="I204" t="s">
        <v>107</v>
      </c>
    </row>
    <row r="205" spans="1:10" ht="21.95" customHeight="1">
      <c r="A205" t="s">
        <v>429</v>
      </c>
      <c r="B205" t="s">
        <v>149</v>
      </c>
      <c r="C205" t="s">
        <v>76</v>
      </c>
      <c r="D205" t="s">
        <v>77</v>
      </c>
      <c r="E205">
        <v>0.55259999999999998</v>
      </c>
      <c r="F205">
        <v>4</v>
      </c>
      <c r="G205" t="s">
        <v>430</v>
      </c>
      <c r="H205">
        <v>1</v>
      </c>
      <c r="J205" t="s">
        <v>107</v>
      </c>
    </row>
    <row r="206" spans="1:10" ht="21.95" customHeight="1">
      <c r="A206" t="s">
        <v>431</v>
      </c>
      <c r="B206" t="s">
        <v>149</v>
      </c>
      <c r="C206" t="s">
        <v>76</v>
      </c>
      <c r="D206" t="s">
        <v>77</v>
      </c>
      <c r="E206">
        <v>0.54930000000000001</v>
      </c>
      <c r="F206">
        <v>3</v>
      </c>
      <c r="G206" t="s">
        <v>432</v>
      </c>
      <c r="H206">
        <v>1</v>
      </c>
      <c r="I206" t="s">
        <v>118</v>
      </c>
    </row>
    <row r="207" spans="1:10" ht="21.95" customHeight="1">
      <c r="A207" t="s">
        <v>433</v>
      </c>
      <c r="B207" t="s">
        <v>149</v>
      </c>
      <c r="C207" t="s">
        <v>76</v>
      </c>
      <c r="D207" t="s">
        <v>77</v>
      </c>
      <c r="E207">
        <v>0.64270000000000005</v>
      </c>
      <c r="F207">
        <v>1</v>
      </c>
      <c r="G207" t="s">
        <v>49</v>
      </c>
      <c r="H207">
        <v>1</v>
      </c>
      <c r="J207" t="s">
        <v>107</v>
      </c>
    </row>
    <row r="208" spans="1:10" ht="21.95" customHeight="1">
      <c r="A208" t="s">
        <v>434</v>
      </c>
      <c r="B208" t="s">
        <v>149</v>
      </c>
      <c r="C208" t="s">
        <v>76</v>
      </c>
      <c r="D208" t="s">
        <v>77</v>
      </c>
      <c r="E208">
        <v>0.79610000000000003</v>
      </c>
      <c r="F208">
        <v>3</v>
      </c>
      <c r="G208" t="s">
        <v>435</v>
      </c>
      <c r="H208">
        <v>1</v>
      </c>
      <c r="J208" t="s">
        <v>116</v>
      </c>
    </row>
    <row r="209" spans="1:10" ht="21.95" customHeight="1">
      <c r="A209" t="s">
        <v>436</v>
      </c>
      <c r="B209" t="s">
        <v>149</v>
      </c>
      <c r="C209" t="s">
        <v>76</v>
      </c>
      <c r="D209" t="s">
        <v>77</v>
      </c>
      <c r="E209">
        <v>0.54990000000000006</v>
      </c>
      <c r="F209">
        <v>1</v>
      </c>
      <c r="G209" t="s">
        <v>41</v>
      </c>
      <c r="H209">
        <v>1</v>
      </c>
      <c r="J209" t="s">
        <v>120</v>
      </c>
    </row>
    <row r="210" spans="1:10" ht="21.95" customHeight="1">
      <c r="A210" t="s">
        <v>437</v>
      </c>
      <c r="B210" t="s">
        <v>149</v>
      </c>
      <c r="C210" t="s">
        <v>76</v>
      </c>
      <c r="D210" t="s">
        <v>77</v>
      </c>
      <c r="E210">
        <v>0.58730000000000004</v>
      </c>
      <c r="F210">
        <v>4</v>
      </c>
      <c r="G210" t="s">
        <v>438</v>
      </c>
      <c r="H210">
        <v>1</v>
      </c>
      <c r="I210" t="s">
        <v>107</v>
      </c>
    </row>
    <row r="211" spans="1:10" ht="21.95" customHeight="1">
      <c r="A211" t="s">
        <v>439</v>
      </c>
      <c r="B211" t="s">
        <v>149</v>
      </c>
      <c r="C211" t="s">
        <v>76</v>
      </c>
      <c r="D211" t="s">
        <v>77</v>
      </c>
      <c r="E211">
        <v>0.62990000000000002</v>
      </c>
      <c r="F211">
        <v>5</v>
      </c>
      <c r="G211" t="s">
        <v>440</v>
      </c>
      <c r="H211">
        <v>1</v>
      </c>
      <c r="J211" t="s">
        <v>107</v>
      </c>
    </row>
    <row r="212" spans="1:10" ht="21.95" customHeight="1">
      <c r="A212" t="s">
        <v>441</v>
      </c>
      <c r="B212" t="s">
        <v>149</v>
      </c>
      <c r="C212" t="s">
        <v>76</v>
      </c>
      <c r="D212" t="s">
        <v>77</v>
      </c>
      <c r="E212">
        <v>0.66510000000000002</v>
      </c>
      <c r="F212">
        <v>4</v>
      </c>
      <c r="G212" t="s">
        <v>442</v>
      </c>
      <c r="H212">
        <v>2</v>
      </c>
      <c r="I212" t="s">
        <v>107</v>
      </c>
      <c r="J212" t="s">
        <v>107</v>
      </c>
    </row>
    <row r="213" spans="1:10" ht="21.95" customHeight="1">
      <c r="A213" t="s">
        <v>443</v>
      </c>
      <c r="B213" t="s">
        <v>149</v>
      </c>
      <c r="C213" t="s">
        <v>76</v>
      </c>
      <c r="D213" t="s">
        <v>77</v>
      </c>
      <c r="E213">
        <v>0.63300000000000001</v>
      </c>
      <c r="F213">
        <v>3</v>
      </c>
      <c r="G213" t="s">
        <v>444</v>
      </c>
      <c r="H213">
        <v>1</v>
      </c>
      <c r="I213" t="s">
        <v>107</v>
      </c>
    </row>
    <row r="214" spans="1:10" ht="21.95" customHeight="1">
      <c r="A214" t="s">
        <v>445</v>
      </c>
      <c r="B214" t="s">
        <v>149</v>
      </c>
      <c r="C214" t="s">
        <v>76</v>
      </c>
      <c r="D214" t="s">
        <v>77</v>
      </c>
      <c r="E214">
        <v>0.5272</v>
      </c>
      <c r="F214">
        <v>1</v>
      </c>
      <c r="G214" t="s">
        <v>50</v>
      </c>
      <c r="H214">
        <v>1</v>
      </c>
      <c r="J214" t="s">
        <v>118</v>
      </c>
    </row>
    <row r="215" spans="1:10" ht="21.95" customHeight="1">
      <c r="A215" t="s">
        <v>446</v>
      </c>
      <c r="B215" t="s">
        <v>149</v>
      </c>
      <c r="C215" t="s">
        <v>76</v>
      </c>
      <c r="D215" t="s">
        <v>77</v>
      </c>
      <c r="E215">
        <v>0.34849999999999998</v>
      </c>
      <c r="F215">
        <v>1</v>
      </c>
      <c r="G215" t="s">
        <v>51</v>
      </c>
      <c r="H215">
        <v>1</v>
      </c>
      <c r="I215" t="s">
        <v>116</v>
      </c>
    </row>
    <row r="216" spans="1:10" ht="21.95" customHeight="1">
      <c r="A216" t="s">
        <v>447</v>
      </c>
      <c r="B216" t="s">
        <v>149</v>
      </c>
      <c r="C216" t="s">
        <v>76</v>
      </c>
      <c r="D216" t="s">
        <v>77</v>
      </c>
      <c r="E216">
        <v>0.64259999999999995</v>
      </c>
      <c r="F216">
        <v>1</v>
      </c>
      <c r="G216" t="s">
        <v>40</v>
      </c>
      <c r="H216">
        <v>1</v>
      </c>
      <c r="J216" t="s">
        <v>107</v>
      </c>
    </row>
    <row r="217" spans="1:10" ht="21.95" customHeight="1">
      <c r="A217" t="s">
        <v>448</v>
      </c>
      <c r="B217" t="s">
        <v>149</v>
      </c>
      <c r="C217" t="s">
        <v>76</v>
      </c>
      <c r="D217" t="s">
        <v>77</v>
      </c>
      <c r="E217">
        <v>0.5978</v>
      </c>
      <c r="F217">
        <v>3</v>
      </c>
      <c r="G217" t="s">
        <v>449</v>
      </c>
      <c r="H217">
        <v>1</v>
      </c>
      <c r="J217" t="s">
        <v>114</v>
      </c>
    </row>
    <row r="218" spans="1:10" ht="21.95" customHeight="1">
      <c r="A218" t="s">
        <v>450</v>
      </c>
      <c r="B218" t="s">
        <v>149</v>
      </c>
      <c r="C218" t="s">
        <v>76</v>
      </c>
      <c r="D218" t="s">
        <v>77</v>
      </c>
      <c r="E218">
        <v>0.625</v>
      </c>
      <c r="F218">
        <v>1</v>
      </c>
      <c r="G218" t="s">
        <v>49</v>
      </c>
      <c r="H218">
        <v>1</v>
      </c>
      <c r="J218" t="s">
        <v>107</v>
      </c>
    </row>
    <row r="219" spans="1:10" ht="21.95" customHeight="1">
      <c r="A219" t="s">
        <v>451</v>
      </c>
      <c r="B219" t="s">
        <v>149</v>
      </c>
      <c r="C219" t="s">
        <v>76</v>
      </c>
      <c r="D219" t="s">
        <v>77</v>
      </c>
      <c r="E219">
        <v>0.71699999999999997</v>
      </c>
      <c r="F219">
        <v>3</v>
      </c>
      <c r="G219" t="s">
        <v>452</v>
      </c>
      <c r="H219">
        <v>1</v>
      </c>
      <c r="I219" t="s">
        <v>107</v>
      </c>
    </row>
    <row r="220" spans="1:10" ht="21.95" customHeight="1">
      <c r="A220" t="s">
        <v>453</v>
      </c>
      <c r="B220" t="s">
        <v>149</v>
      </c>
      <c r="C220" t="s">
        <v>76</v>
      </c>
      <c r="D220" t="s">
        <v>77</v>
      </c>
      <c r="E220">
        <v>0.39579999999999999</v>
      </c>
      <c r="F220">
        <v>4</v>
      </c>
      <c r="G220" t="s">
        <v>454</v>
      </c>
      <c r="H220">
        <v>1</v>
      </c>
      <c r="J220" t="s">
        <v>114</v>
      </c>
    </row>
    <row r="221" spans="1:10" ht="21.95" customHeight="1">
      <c r="A221" t="s">
        <v>455</v>
      </c>
      <c r="B221" t="s">
        <v>149</v>
      </c>
      <c r="C221" t="s">
        <v>76</v>
      </c>
      <c r="D221" t="s">
        <v>77</v>
      </c>
      <c r="E221">
        <v>0.33539999999999998</v>
      </c>
      <c r="F221">
        <v>4</v>
      </c>
      <c r="G221" t="s">
        <v>456</v>
      </c>
      <c r="H221">
        <v>1</v>
      </c>
      <c r="I221" t="s">
        <v>114</v>
      </c>
    </row>
    <row r="222" spans="1:10" ht="21.95" customHeight="1">
      <c r="A222" t="s">
        <v>457</v>
      </c>
      <c r="B222" t="s">
        <v>149</v>
      </c>
      <c r="C222" t="s">
        <v>76</v>
      </c>
      <c r="D222" t="s">
        <v>77</v>
      </c>
      <c r="E222">
        <v>0.42320000000000002</v>
      </c>
      <c r="F222">
        <v>3</v>
      </c>
      <c r="G222" t="s">
        <v>458</v>
      </c>
      <c r="H222">
        <v>1</v>
      </c>
      <c r="I222" t="s">
        <v>107</v>
      </c>
    </row>
    <row r="223" spans="1:10" ht="21.95" customHeight="1">
      <c r="A223" t="s">
        <v>459</v>
      </c>
      <c r="B223" t="s">
        <v>149</v>
      </c>
      <c r="C223" t="s">
        <v>76</v>
      </c>
      <c r="D223" t="s">
        <v>77</v>
      </c>
      <c r="E223">
        <v>0.3095</v>
      </c>
      <c r="F223">
        <v>1</v>
      </c>
      <c r="G223" t="s">
        <v>52</v>
      </c>
      <c r="H223">
        <v>1</v>
      </c>
      <c r="I223" t="s">
        <v>128</v>
      </c>
    </row>
    <row r="224" spans="1:10" ht="21.95" customHeight="1">
      <c r="A224" t="s">
        <v>460</v>
      </c>
      <c r="B224" t="s">
        <v>149</v>
      </c>
      <c r="C224" t="s">
        <v>76</v>
      </c>
      <c r="D224" t="s">
        <v>77</v>
      </c>
      <c r="E224">
        <v>0.502</v>
      </c>
      <c r="F224">
        <v>2</v>
      </c>
      <c r="G224" t="s">
        <v>461</v>
      </c>
      <c r="H224">
        <v>1</v>
      </c>
      <c r="I224" t="s">
        <v>116</v>
      </c>
    </row>
    <row r="225" spans="1:10" ht="21.95" customHeight="1">
      <c r="A225" t="s">
        <v>462</v>
      </c>
      <c r="B225" t="s">
        <v>149</v>
      </c>
      <c r="C225" t="s">
        <v>76</v>
      </c>
      <c r="D225" t="s">
        <v>77</v>
      </c>
      <c r="E225">
        <v>0.38469999999999999</v>
      </c>
      <c r="F225">
        <v>5</v>
      </c>
      <c r="G225" t="s">
        <v>463</v>
      </c>
      <c r="H225">
        <v>1</v>
      </c>
      <c r="I225" t="s">
        <v>107</v>
      </c>
    </row>
    <row r="226" spans="1:10" ht="21.95" customHeight="1">
      <c r="A226" t="s">
        <v>464</v>
      </c>
      <c r="B226" t="s">
        <v>149</v>
      </c>
      <c r="C226" t="s">
        <v>76</v>
      </c>
      <c r="D226" t="s">
        <v>77</v>
      </c>
      <c r="E226">
        <v>0.50749999999999995</v>
      </c>
      <c r="F226">
        <v>3</v>
      </c>
      <c r="G226" t="s">
        <v>465</v>
      </c>
      <c r="H226">
        <v>1</v>
      </c>
      <c r="I226" t="s">
        <v>118</v>
      </c>
    </row>
    <row r="227" spans="1:10" ht="21.95" customHeight="1">
      <c r="A227" t="s">
        <v>466</v>
      </c>
      <c r="B227" t="s">
        <v>149</v>
      </c>
      <c r="C227" t="s">
        <v>76</v>
      </c>
      <c r="D227" t="s">
        <v>77</v>
      </c>
      <c r="E227">
        <v>0.70599999999999996</v>
      </c>
      <c r="F227">
        <v>2</v>
      </c>
      <c r="G227" t="s">
        <v>467</v>
      </c>
      <c r="H227">
        <v>1</v>
      </c>
      <c r="J227" t="s">
        <v>107</v>
      </c>
    </row>
    <row r="228" spans="1:10" ht="21.95" customHeight="1">
      <c r="A228" t="s">
        <v>468</v>
      </c>
      <c r="B228" t="s">
        <v>179</v>
      </c>
      <c r="C228" t="s">
        <v>76</v>
      </c>
      <c r="D228" t="s">
        <v>77</v>
      </c>
      <c r="E228">
        <v>0.8296</v>
      </c>
      <c r="F228">
        <v>3</v>
      </c>
      <c r="G228" t="s">
        <v>444</v>
      </c>
      <c r="H228">
        <v>0</v>
      </c>
    </row>
    <row r="229" spans="1:10" ht="21.95" customHeight="1">
      <c r="A229" t="s">
        <v>469</v>
      </c>
      <c r="B229" t="s">
        <v>179</v>
      </c>
      <c r="C229" t="s">
        <v>76</v>
      </c>
      <c r="D229" t="s">
        <v>77</v>
      </c>
      <c r="E229">
        <v>0.81410000000000005</v>
      </c>
      <c r="F229">
        <v>2</v>
      </c>
      <c r="G229" t="s">
        <v>470</v>
      </c>
      <c r="H229">
        <v>1</v>
      </c>
      <c r="I229" t="s">
        <v>120</v>
      </c>
    </row>
    <row r="230" spans="1:10" ht="21.95" customHeight="1">
      <c r="A230" t="s">
        <v>471</v>
      </c>
      <c r="B230" t="s">
        <v>179</v>
      </c>
      <c r="C230" t="s">
        <v>76</v>
      </c>
      <c r="D230" t="s">
        <v>77</v>
      </c>
      <c r="E230">
        <v>0.81320000000000003</v>
      </c>
      <c r="F230">
        <v>1</v>
      </c>
      <c r="G230" t="s">
        <v>49</v>
      </c>
      <c r="H230">
        <v>1</v>
      </c>
      <c r="I230" t="s">
        <v>107</v>
      </c>
    </row>
    <row r="231" spans="1:10" ht="21.95" customHeight="1">
      <c r="A231" t="s">
        <v>472</v>
      </c>
      <c r="B231" t="s">
        <v>179</v>
      </c>
      <c r="C231" t="s">
        <v>76</v>
      </c>
      <c r="D231" t="s">
        <v>77</v>
      </c>
      <c r="E231">
        <v>0.82879999999999998</v>
      </c>
      <c r="F231">
        <v>2</v>
      </c>
      <c r="G231" t="s">
        <v>473</v>
      </c>
      <c r="H231">
        <v>1</v>
      </c>
      <c r="I231" t="s">
        <v>118</v>
      </c>
    </row>
    <row r="232" spans="1:10" ht="21.95" customHeight="1">
      <c r="A232" t="s">
        <v>474</v>
      </c>
      <c r="B232" t="s">
        <v>179</v>
      </c>
      <c r="C232" t="s">
        <v>76</v>
      </c>
      <c r="D232" t="s">
        <v>77</v>
      </c>
      <c r="E232">
        <v>0.80979999999999996</v>
      </c>
      <c r="F232">
        <v>6</v>
      </c>
      <c r="G232" t="s">
        <v>475</v>
      </c>
      <c r="H23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1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25"/>
  <cols>
    <col min="1" max="1" width="15" customWidth="1"/>
    <col min="2" max="2" width="16" customWidth="1"/>
    <col min="3" max="3" width="17" customWidth="1"/>
    <col min="4" max="4" width="64" customWidth="1"/>
    <col min="5" max="5" width="24" customWidth="1"/>
    <col min="6" max="6" width="65" customWidth="1"/>
    <col min="7" max="7" width="20" customWidth="1"/>
    <col min="8" max="8" width="94" customWidth="1"/>
    <col min="9" max="9" width="26" customWidth="1"/>
  </cols>
  <sheetData>
    <row r="1" spans="1:9" ht="30" customHeight="1">
      <c r="A1" s="1" t="s">
        <v>131</v>
      </c>
      <c r="B1" s="1" t="s">
        <v>476</v>
      </c>
      <c r="C1" s="1" t="s">
        <v>477</v>
      </c>
      <c r="D1" s="1" t="s">
        <v>95</v>
      </c>
      <c r="E1" s="1" t="s">
        <v>478</v>
      </c>
      <c r="F1" s="1" t="s">
        <v>479</v>
      </c>
      <c r="G1" s="1" t="s">
        <v>480</v>
      </c>
      <c r="H1" s="1" t="s">
        <v>137</v>
      </c>
      <c r="I1" s="1" t="s">
        <v>481</v>
      </c>
    </row>
    <row r="2" spans="1:9" ht="21.95" customHeight="1">
      <c r="A2" t="s">
        <v>141</v>
      </c>
      <c r="B2" t="s">
        <v>482</v>
      </c>
      <c r="C2" t="s">
        <v>104</v>
      </c>
      <c r="D2" t="s">
        <v>105</v>
      </c>
      <c r="E2" t="s">
        <v>483</v>
      </c>
      <c r="F2" t="s">
        <v>128</v>
      </c>
      <c r="G2">
        <v>5</v>
      </c>
      <c r="H2" t="s">
        <v>143</v>
      </c>
      <c r="I2">
        <v>0</v>
      </c>
    </row>
    <row r="3" spans="1:9" ht="21.95" customHeight="1">
      <c r="A3" t="s">
        <v>144</v>
      </c>
      <c r="B3" t="s">
        <v>482</v>
      </c>
      <c r="C3" t="s">
        <v>113</v>
      </c>
      <c r="D3" t="s">
        <v>114</v>
      </c>
      <c r="E3" t="s">
        <v>483</v>
      </c>
      <c r="F3" t="s">
        <v>109</v>
      </c>
      <c r="G3">
        <v>1</v>
      </c>
      <c r="H3" t="s">
        <v>51</v>
      </c>
      <c r="I3">
        <v>0</v>
      </c>
    </row>
    <row r="4" spans="1:9" ht="21.95" customHeight="1">
      <c r="A4" t="s">
        <v>144</v>
      </c>
      <c r="B4" t="s">
        <v>484</v>
      </c>
      <c r="C4" t="s">
        <v>108</v>
      </c>
      <c r="D4" t="s">
        <v>109</v>
      </c>
      <c r="E4" t="s">
        <v>483</v>
      </c>
      <c r="F4" t="s">
        <v>120</v>
      </c>
      <c r="G4">
        <v>1</v>
      </c>
      <c r="H4" t="s">
        <v>51</v>
      </c>
      <c r="I4">
        <v>1</v>
      </c>
    </row>
    <row r="5" spans="1:9" ht="21.95" customHeight="1">
      <c r="A5" t="s">
        <v>145</v>
      </c>
      <c r="B5" t="s">
        <v>484</v>
      </c>
      <c r="C5" t="s">
        <v>108</v>
      </c>
      <c r="D5" t="s">
        <v>109</v>
      </c>
      <c r="E5" t="s">
        <v>483</v>
      </c>
      <c r="F5" t="s">
        <v>114</v>
      </c>
      <c r="G5">
        <v>1</v>
      </c>
      <c r="H5" t="s">
        <v>51</v>
      </c>
      <c r="I5">
        <v>1</v>
      </c>
    </row>
    <row r="6" spans="1:9" ht="21.95" customHeight="1">
      <c r="A6" t="s">
        <v>146</v>
      </c>
      <c r="B6" t="s">
        <v>484</v>
      </c>
      <c r="C6" t="s">
        <v>104</v>
      </c>
      <c r="D6" t="s">
        <v>105</v>
      </c>
      <c r="E6" t="s">
        <v>485</v>
      </c>
      <c r="F6" t="s">
        <v>486</v>
      </c>
      <c r="G6">
        <v>1</v>
      </c>
      <c r="H6" t="s">
        <v>46</v>
      </c>
      <c r="I6">
        <v>0</v>
      </c>
    </row>
    <row r="7" spans="1:9" ht="21.95" customHeight="1">
      <c r="A7" t="s">
        <v>147</v>
      </c>
      <c r="B7" t="s">
        <v>482</v>
      </c>
      <c r="C7" t="s">
        <v>104</v>
      </c>
      <c r="D7" t="s">
        <v>105</v>
      </c>
      <c r="E7" t="s">
        <v>483</v>
      </c>
      <c r="F7" t="s">
        <v>486</v>
      </c>
      <c r="G7">
        <v>1</v>
      </c>
      <c r="H7" t="s">
        <v>46</v>
      </c>
      <c r="I7">
        <v>0</v>
      </c>
    </row>
    <row r="8" spans="1:9" ht="21.95" customHeight="1">
      <c r="A8" t="s">
        <v>148</v>
      </c>
      <c r="B8" t="s">
        <v>484</v>
      </c>
      <c r="C8" t="s">
        <v>104</v>
      </c>
      <c r="D8" t="s">
        <v>105</v>
      </c>
      <c r="E8" t="s">
        <v>483</v>
      </c>
      <c r="F8" t="s">
        <v>114</v>
      </c>
      <c r="G8">
        <v>1</v>
      </c>
      <c r="H8" t="s">
        <v>46</v>
      </c>
      <c r="I8">
        <v>0</v>
      </c>
    </row>
    <row r="9" spans="1:9" ht="21.95" customHeight="1">
      <c r="A9" t="s">
        <v>150</v>
      </c>
      <c r="B9" t="s">
        <v>482</v>
      </c>
      <c r="C9" t="s">
        <v>104</v>
      </c>
      <c r="D9" t="s">
        <v>105</v>
      </c>
      <c r="E9" t="s">
        <v>485</v>
      </c>
      <c r="F9" t="s">
        <v>124</v>
      </c>
      <c r="G9">
        <v>1</v>
      </c>
      <c r="H9" t="s">
        <v>46</v>
      </c>
      <c r="I9">
        <v>0</v>
      </c>
    </row>
    <row r="10" spans="1:9" ht="21.95" customHeight="1">
      <c r="A10" t="s">
        <v>151</v>
      </c>
      <c r="B10" t="s">
        <v>482</v>
      </c>
      <c r="C10" t="s">
        <v>104</v>
      </c>
      <c r="D10" t="s">
        <v>105</v>
      </c>
      <c r="E10" t="s">
        <v>483</v>
      </c>
      <c r="F10" t="s">
        <v>107</v>
      </c>
      <c r="G10">
        <v>3</v>
      </c>
      <c r="H10" t="s">
        <v>152</v>
      </c>
      <c r="I10">
        <v>0</v>
      </c>
    </row>
    <row r="11" spans="1:9" ht="21.95" customHeight="1">
      <c r="A11" t="s">
        <v>153</v>
      </c>
      <c r="B11" t="s">
        <v>482</v>
      </c>
      <c r="C11" t="s">
        <v>104</v>
      </c>
      <c r="D11" t="s">
        <v>105</v>
      </c>
      <c r="E11" t="s">
        <v>483</v>
      </c>
      <c r="F11" t="s">
        <v>124</v>
      </c>
      <c r="G11">
        <v>2</v>
      </c>
      <c r="H11" t="s">
        <v>154</v>
      </c>
      <c r="I11">
        <v>0</v>
      </c>
    </row>
    <row r="12" spans="1:9" ht="21.95" customHeight="1">
      <c r="A12" t="s">
        <v>155</v>
      </c>
      <c r="B12" t="s">
        <v>484</v>
      </c>
      <c r="C12" t="s">
        <v>106</v>
      </c>
      <c r="D12" t="s">
        <v>107</v>
      </c>
      <c r="E12" t="s">
        <v>483</v>
      </c>
      <c r="F12" t="s">
        <v>105</v>
      </c>
      <c r="G12">
        <v>1</v>
      </c>
      <c r="H12" t="s">
        <v>46</v>
      </c>
      <c r="I12">
        <v>0</v>
      </c>
    </row>
    <row r="13" spans="1:9" ht="21.95" customHeight="1">
      <c r="A13" t="s">
        <v>156</v>
      </c>
      <c r="B13" t="s">
        <v>484</v>
      </c>
      <c r="C13" t="s">
        <v>104</v>
      </c>
      <c r="D13" t="s">
        <v>105</v>
      </c>
      <c r="E13" t="s">
        <v>483</v>
      </c>
      <c r="F13" t="s">
        <v>114</v>
      </c>
      <c r="G13">
        <v>2</v>
      </c>
      <c r="H13" t="s">
        <v>157</v>
      </c>
      <c r="I13">
        <v>0</v>
      </c>
    </row>
    <row r="14" spans="1:9" ht="21.95" customHeight="1">
      <c r="A14" t="s">
        <v>184</v>
      </c>
      <c r="B14" t="s">
        <v>484</v>
      </c>
      <c r="C14" t="s">
        <v>104</v>
      </c>
      <c r="D14" t="s">
        <v>105</v>
      </c>
      <c r="E14" t="s">
        <v>483</v>
      </c>
      <c r="F14" t="s">
        <v>124</v>
      </c>
      <c r="G14">
        <v>3</v>
      </c>
      <c r="H14" t="s">
        <v>168</v>
      </c>
      <c r="I14">
        <v>0</v>
      </c>
    </row>
    <row r="15" spans="1:9" ht="21.95" customHeight="1">
      <c r="A15" t="s">
        <v>186</v>
      </c>
      <c r="B15" t="s">
        <v>482</v>
      </c>
      <c r="C15" t="s">
        <v>123</v>
      </c>
      <c r="D15" t="s">
        <v>124</v>
      </c>
      <c r="E15" t="s">
        <v>483</v>
      </c>
      <c r="F15" t="s">
        <v>114</v>
      </c>
      <c r="G15">
        <v>1</v>
      </c>
      <c r="H15" t="s">
        <v>45</v>
      </c>
      <c r="I15">
        <v>0</v>
      </c>
    </row>
    <row r="16" spans="1:9" ht="21.95" customHeight="1">
      <c r="A16" t="s">
        <v>186</v>
      </c>
      <c r="B16" t="s">
        <v>484</v>
      </c>
      <c r="C16" t="s">
        <v>123</v>
      </c>
      <c r="D16" t="s">
        <v>124</v>
      </c>
      <c r="E16" t="s">
        <v>483</v>
      </c>
      <c r="F16" t="s">
        <v>114</v>
      </c>
      <c r="G16">
        <v>1</v>
      </c>
      <c r="H16" t="s">
        <v>45</v>
      </c>
      <c r="I16">
        <v>0</v>
      </c>
    </row>
    <row r="17" spans="1:9" ht="21.95" customHeight="1">
      <c r="A17" t="s">
        <v>187</v>
      </c>
      <c r="B17" t="s">
        <v>484</v>
      </c>
      <c r="C17" t="s">
        <v>125</v>
      </c>
      <c r="D17" t="s">
        <v>126</v>
      </c>
      <c r="E17" t="s">
        <v>483</v>
      </c>
      <c r="F17" t="s">
        <v>105</v>
      </c>
      <c r="G17">
        <v>1</v>
      </c>
      <c r="H17" t="s">
        <v>46</v>
      </c>
      <c r="I17">
        <v>0</v>
      </c>
    </row>
    <row r="18" spans="1:9" ht="21.95" customHeight="1">
      <c r="A18" t="s">
        <v>188</v>
      </c>
      <c r="B18" t="s">
        <v>484</v>
      </c>
      <c r="C18" t="s">
        <v>104</v>
      </c>
      <c r="D18" t="s">
        <v>105</v>
      </c>
      <c r="E18" t="s">
        <v>483</v>
      </c>
      <c r="F18" t="s">
        <v>118</v>
      </c>
      <c r="G18">
        <v>3</v>
      </c>
      <c r="H18" t="s">
        <v>189</v>
      </c>
      <c r="I18">
        <v>0</v>
      </c>
    </row>
    <row r="19" spans="1:9" ht="21.95" customHeight="1">
      <c r="A19" t="s">
        <v>190</v>
      </c>
      <c r="B19" t="s">
        <v>484</v>
      </c>
      <c r="C19" t="s">
        <v>123</v>
      </c>
      <c r="D19" t="s">
        <v>124</v>
      </c>
      <c r="E19" t="s">
        <v>485</v>
      </c>
      <c r="F19" t="s">
        <v>486</v>
      </c>
      <c r="G19">
        <v>1</v>
      </c>
      <c r="H19" t="s">
        <v>44</v>
      </c>
      <c r="I19">
        <v>0</v>
      </c>
    </row>
    <row r="20" spans="1:9" ht="21.95" customHeight="1">
      <c r="A20" t="s">
        <v>191</v>
      </c>
      <c r="B20" t="s">
        <v>482</v>
      </c>
      <c r="C20" t="s">
        <v>125</v>
      </c>
      <c r="D20" t="s">
        <v>126</v>
      </c>
      <c r="E20" t="s">
        <v>483</v>
      </c>
      <c r="F20" t="s">
        <v>114</v>
      </c>
      <c r="G20">
        <v>3</v>
      </c>
      <c r="H20" t="s">
        <v>192</v>
      </c>
      <c r="I20">
        <v>0</v>
      </c>
    </row>
    <row r="21" spans="1:9" ht="21.95" customHeight="1">
      <c r="A21" t="s">
        <v>191</v>
      </c>
      <c r="B21" t="s">
        <v>484</v>
      </c>
      <c r="C21" t="s">
        <v>125</v>
      </c>
      <c r="D21" t="s">
        <v>126</v>
      </c>
      <c r="E21" t="s">
        <v>483</v>
      </c>
      <c r="F21" t="s">
        <v>114</v>
      </c>
      <c r="G21">
        <v>3</v>
      </c>
      <c r="H21" t="s">
        <v>192</v>
      </c>
      <c r="I21">
        <v>0</v>
      </c>
    </row>
    <row r="22" spans="1:9" ht="21.95" customHeight="1">
      <c r="A22" t="s">
        <v>193</v>
      </c>
      <c r="B22" t="s">
        <v>484</v>
      </c>
      <c r="C22" t="s">
        <v>123</v>
      </c>
      <c r="D22" t="s">
        <v>124</v>
      </c>
      <c r="E22" t="s">
        <v>483</v>
      </c>
      <c r="F22" t="s">
        <v>126</v>
      </c>
      <c r="G22">
        <v>4</v>
      </c>
      <c r="H22" t="s">
        <v>194</v>
      </c>
      <c r="I22">
        <v>0</v>
      </c>
    </row>
    <row r="23" spans="1:9" ht="21.95" customHeight="1">
      <c r="A23" t="s">
        <v>195</v>
      </c>
      <c r="B23" t="s">
        <v>482</v>
      </c>
      <c r="C23" t="s">
        <v>123</v>
      </c>
      <c r="D23" t="s">
        <v>124</v>
      </c>
      <c r="E23" t="s">
        <v>485</v>
      </c>
      <c r="F23" t="s">
        <v>109</v>
      </c>
      <c r="G23">
        <v>3</v>
      </c>
      <c r="H23" t="s">
        <v>196</v>
      </c>
      <c r="I23">
        <v>0</v>
      </c>
    </row>
    <row r="24" spans="1:9" ht="21.95" customHeight="1">
      <c r="A24" t="s">
        <v>195</v>
      </c>
      <c r="B24" t="s">
        <v>484</v>
      </c>
      <c r="C24" t="s">
        <v>123</v>
      </c>
      <c r="D24" t="s">
        <v>124</v>
      </c>
      <c r="E24" t="s">
        <v>483</v>
      </c>
      <c r="F24" t="s">
        <v>114</v>
      </c>
      <c r="G24">
        <v>3</v>
      </c>
      <c r="H24" t="s">
        <v>196</v>
      </c>
      <c r="I24">
        <v>0</v>
      </c>
    </row>
    <row r="25" spans="1:9" ht="21.95" customHeight="1">
      <c r="A25" t="s">
        <v>197</v>
      </c>
      <c r="B25" t="s">
        <v>482</v>
      </c>
      <c r="C25" t="s">
        <v>123</v>
      </c>
      <c r="D25" t="s">
        <v>124</v>
      </c>
      <c r="E25" t="s">
        <v>485</v>
      </c>
      <c r="F25" t="s">
        <v>126</v>
      </c>
      <c r="G25">
        <v>2</v>
      </c>
      <c r="H25" t="s">
        <v>198</v>
      </c>
      <c r="I25">
        <v>0</v>
      </c>
    </row>
    <row r="26" spans="1:9" ht="21.95" customHeight="1">
      <c r="A26" t="s">
        <v>199</v>
      </c>
      <c r="B26" t="s">
        <v>482</v>
      </c>
      <c r="C26" t="s">
        <v>123</v>
      </c>
      <c r="D26" t="s">
        <v>124</v>
      </c>
      <c r="E26" t="s">
        <v>483</v>
      </c>
      <c r="F26" t="s">
        <v>114</v>
      </c>
      <c r="G26">
        <v>2</v>
      </c>
      <c r="H26" t="s">
        <v>200</v>
      </c>
      <c r="I26">
        <v>0</v>
      </c>
    </row>
    <row r="27" spans="1:9" ht="21.95" customHeight="1">
      <c r="A27" t="s">
        <v>201</v>
      </c>
      <c r="B27" t="s">
        <v>482</v>
      </c>
      <c r="C27" t="s">
        <v>123</v>
      </c>
      <c r="D27" t="s">
        <v>124</v>
      </c>
      <c r="E27" t="s">
        <v>483</v>
      </c>
      <c r="F27" t="s">
        <v>126</v>
      </c>
      <c r="G27">
        <v>4</v>
      </c>
      <c r="H27" t="s">
        <v>202</v>
      </c>
      <c r="I27">
        <v>0</v>
      </c>
    </row>
    <row r="28" spans="1:9" ht="21.95" customHeight="1">
      <c r="A28" t="s">
        <v>203</v>
      </c>
      <c r="B28" t="s">
        <v>484</v>
      </c>
      <c r="C28" t="s">
        <v>123</v>
      </c>
      <c r="D28" t="s">
        <v>124</v>
      </c>
      <c r="E28" t="s">
        <v>483</v>
      </c>
      <c r="F28" t="s">
        <v>120</v>
      </c>
      <c r="G28">
        <v>3</v>
      </c>
      <c r="H28" t="s">
        <v>204</v>
      </c>
      <c r="I28">
        <v>0</v>
      </c>
    </row>
    <row r="29" spans="1:9" ht="21.95" customHeight="1">
      <c r="A29" t="s">
        <v>205</v>
      </c>
      <c r="B29" t="s">
        <v>482</v>
      </c>
      <c r="C29" t="s">
        <v>125</v>
      </c>
      <c r="D29" t="s">
        <v>126</v>
      </c>
      <c r="E29" t="s">
        <v>483</v>
      </c>
      <c r="F29" t="s">
        <v>105</v>
      </c>
      <c r="G29">
        <v>4</v>
      </c>
      <c r="H29" t="s">
        <v>206</v>
      </c>
      <c r="I29">
        <v>0</v>
      </c>
    </row>
    <row r="30" spans="1:9" ht="21.95" customHeight="1">
      <c r="A30" t="s">
        <v>207</v>
      </c>
      <c r="B30" t="s">
        <v>484</v>
      </c>
      <c r="C30" t="s">
        <v>123</v>
      </c>
      <c r="D30" t="s">
        <v>124</v>
      </c>
      <c r="E30" t="s">
        <v>483</v>
      </c>
      <c r="F30" t="s">
        <v>105</v>
      </c>
      <c r="G30">
        <v>3</v>
      </c>
      <c r="H30" t="s">
        <v>168</v>
      </c>
      <c r="I30">
        <v>0</v>
      </c>
    </row>
    <row r="31" spans="1:9" ht="21.95" customHeight="1">
      <c r="A31" t="s">
        <v>208</v>
      </c>
      <c r="B31" t="s">
        <v>482</v>
      </c>
      <c r="C31" t="s">
        <v>125</v>
      </c>
      <c r="D31" t="s">
        <v>126</v>
      </c>
      <c r="E31" t="s">
        <v>483</v>
      </c>
      <c r="F31" t="s">
        <v>118</v>
      </c>
      <c r="G31">
        <v>1</v>
      </c>
      <c r="H31" t="s">
        <v>47</v>
      </c>
      <c r="I31">
        <v>0</v>
      </c>
    </row>
    <row r="32" spans="1:9" ht="21.95" customHeight="1">
      <c r="A32" t="s">
        <v>209</v>
      </c>
      <c r="B32" t="s">
        <v>484</v>
      </c>
      <c r="C32" t="s">
        <v>104</v>
      </c>
      <c r="D32" t="s">
        <v>105</v>
      </c>
      <c r="E32" t="s">
        <v>483</v>
      </c>
      <c r="F32" t="s">
        <v>124</v>
      </c>
      <c r="G32">
        <v>4</v>
      </c>
      <c r="H32" t="s">
        <v>210</v>
      </c>
      <c r="I32">
        <v>0</v>
      </c>
    </row>
    <row r="33" spans="1:9" ht="21.95" customHeight="1">
      <c r="A33" t="s">
        <v>211</v>
      </c>
      <c r="B33" t="s">
        <v>482</v>
      </c>
      <c r="C33" t="s">
        <v>113</v>
      </c>
      <c r="D33" t="s">
        <v>114</v>
      </c>
      <c r="E33" t="s">
        <v>483</v>
      </c>
      <c r="F33" t="s">
        <v>126</v>
      </c>
      <c r="G33">
        <v>5</v>
      </c>
      <c r="H33" t="s">
        <v>212</v>
      </c>
      <c r="I33">
        <v>0</v>
      </c>
    </row>
    <row r="34" spans="1:9" ht="21.95" customHeight="1">
      <c r="A34" t="s">
        <v>213</v>
      </c>
      <c r="B34" t="s">
        <v>484</v>
      </c>
      <c r="C34" t="s">
        <v>113</v>
      </c>
      <c r="D34" t="s">
        <v>114</v>
      </c>
      <c r="E34" t="s">
        <v>483</v>
      </c>
      <c r="F34" t="s">
        <v>124</v>
      </c>
      <c r="G34">
        <v>1</v>
      </c>
      <c r="H34" t="s">
        <v>45</v>
      </c>
      <c r="I34">
        <v>0</v>
      </c>
    </row>
    <row r="35" spans="1:9" ht="21.95" customHeight="1">
      <c r="A35" t="s">
        <v>214</v>
      </c>
      <c r="B35" t="s">
        <v>482</v>
      </c>
      <c r="C35" t="s">
        <v>123</v>
      </c>
      <c r="D35" t="s">
        <v>124</v>
      </c>
      <c r="E35" t="s">
        <v>483</v>
      </c>
      <c r="F35" t="s">
        <v>114</v>
      </c>
      <c r="G35">
        <v>2</v>
      </c>
      <c r="H35" t="s">
        <v>200</v>
      </c>
      <c r="I35">
        <v>0</v>
      </c>
    </row>
    <row r="36" spans="1:9" ht="21.95" customHeight="1">
      <c r="A36" t="s">
        <v>215</v>
      </c>
      <c r="B36" t="s">
        <v>484</v>
      </c>
      <c r="C36" t="s">
        <v>123</v>
      </c>
      <c r="D36" t="s">
        <v>124</v>
      </c>
      <c r="E36" t="s">
        <v>485</v>
      </c>
      <c r="F36" t="s">
        <v>105</v>
      </c>
      <c r="G36">
        <v>4</v>
      </c>
      <c r="H36" t="s">
        <v>206</v>
      </c>
      <c r="I36">
        <v>0</v>
      </c>
    </row>
    <row r="37" spans="1:9" ht="21.95" customHeight="1">
      <c r="A37" t="s">
        <v>216</v>
      </c>
      <c r="B37" t="s">
        <v>484</v>
      </c>
      <c r="C37" t="s">
        <v>113</v>
      </c>
      <c r="D37" t="s">
        <v>114</v>
      </c>
      <c r="E37" t="s">
        <v>483</v>
      </c>
      <c r="F37" t="s">
        <v>128</v>
      </c>
      <c r="G37">
        <v>4</v>
      </c>
      <c r="H37" t="s">
        <v>194</v>
      </c>
      <c r="I37">
        <v>0</v>
      </c>
    </row>
    <row r="38" spans="1:9" ht="21.95" customHeight="1">
      <c r="A38" t="s">
        <v>217</v>
      </c>
      <c r="B38" t="s">
        <v>482</v>
      </c>
      <c r="C38" t="s">
        <v>125</v>
      </c>
      <c r="D38" t="s">
        <v>126</v>
      </c>
      <c r="E38" t="s">
        <v>483</v>
      </c>
      <c r="F38" t="s">
        <v>114</v>
      </c>
      <c r="G38">
        <v>1</v>
      </c>
      <c r="H38" t="s">
        <v>52</v>
      </c>
      <c r="I38">
        <v>0</v>
      </c>
    </row>
    <row r="39" spans="1:9" ht="21.95" customHeight="1">
      <c r="A39" t="s">
        <v>218</v>
      </c>
      <c r="B39" t="s">
        <v>482</v>
      </c>
      <c r="C39" t="s">
        <v>113</v>
      </c>
      <c r="D39" t="s">
        <v>114</v>
      </c>
      <c r="E39" t="s">
        <v>483</v>
      </c>
      <c r="F39" t="s">
        <v>126</v>
      </c>
      <c r="G39">
        <v>5</v>
      </c>
      <c r="H39" t="s">
        <v>219</v>
      </c>
      <c r="I39">
        <v>0</v>
      </c>
    </row>
    <row r="40" spans="1:9" ht="21.95" customHeight="1">
      <c r="A40" t="s">
        <v>220</v>
      </c>
      <c r="B40" t="s">
        <v>484</v>
      </c>
      <c r="C40" t="s">
        <v>106</v>
      </c>
      <c r="D40" t="s">
        <v>107</v>
      </c>
      <c r="E40" t="s">
        <v>483</v>
      </c>
      <c r="F40" t="s">
        <v>109</v>
      </c>
      <c r="G40">
        <v>4</v>
      </c>
      <c r="H40" t="s">
        <v>221</v>
      </c>
      <c r="I40">
        <v>0</v>
      </c>
    </row>
    <row r="41" spans="1:9" ht="21.95" customHeight="1">
      <c r="A41" t="s">
        <v>222</v>
      </c>
      <c r="B41" t="s">
        <v>484</v>
      </c>
      <c r="C41" t="s">
        <v>104</v>
      </c>
      <c r="D41" t="s">
        <v>105</v>
      </c>
      <c r="E41" t="s">
        <v>483</v>
      </c>
      <c r="F41" t="s">
        <v>126</v>
      </c>
      <c r="G41">
        <v>2</v>
      </c>
      <c r="H41" t="s">
        <v>166</v>
      </c>
      <c r="I41">
        <v>0</v>
      </c>
    </row>
    <row r="42" spans="1:9" ht="21.95" customHeight="1">
      <c r="A42" t="s">
        <v>223</v>
      </c>
      <c r="B42" t="s">
        <v>484</v>
      </c>
      <c r="C42" t="s">
        <v>121</v>
      </c>
      <c r="D42" t="s">
        <v>122</v>
      </c>
      <c r="E42" t="s">
        <v>483</v>
      </c>
      <c r="F42" t="s">
        <v>126</v>
      </c>
      <c r="G42">
        <v>5</v>
      </c>
      <c r="H42" t="s">
        <v>224</v>
      </c>
      <c r="I42">
        <v>0</v>
      </c>
    </row>
    <row r="43" spans="1:9" ht="21.95" customHeight="1">
      <c r="A43" t="s">
        <v>225</v>
      </c>
      <c r="B43" t="s">
        <v>482</v>
      </c>
      <c r="C43" t="s">
        <v>123</v>
      </c>
      <c r="D43" t="s">
        <v>124</v>
      </c>
      <c r="E43" t="s">
        <v>483</v>
      </c>
      <c r="F43" t="s">
        <v>105</v>
      </c>
      <c r="G43">
        <v>3</v>
      </c>
      <c r="H43" t="s">
        <v>168</v>
      </c>
      <c r="I43">
        <v>0</v>
      </c>
    </row>
    <row r="44" spans="1:9" ht="21.95" customHeight="1">
      <c r="A44" t="s">
        <v>225</v>
      </c>
      <c r="B44" t="s">
        <v>484</v>
      </c>
      <c r="C44" t="s">
        <v>123</v>
      </c>
      <c r="D44" t="s">
        <v>124</v>
      </c>
      <c r="E44" t="s">
        <v>483</v>
      </c>
      <c r="F44" t="s">
        <v>105</v>
      </c>
      <c r="G44">
        <v>3</v>
      </c>
      <c r="H44" t="s">
        <v>168</v>
      </c>
      <c r="I44">
        <v>0</v>
      </c>
    </row>
    <row r="45" spans="1:9" ht="21.95" customHeight="1">
      <c r="A45" t="s">
        <v>226</v>
      </c>
      <c r="B45" t="s">
        <v>482</v>
      </c>
      <c r="C45" t="s">
        <v>113</v>
      </c>
      <c r="D45" t="s">
        <v>114</v>
      </c>
      <c r="E45" t="s">
        <v>483</v>
      </c>
      <c r="F45" t="s">
        <v>122</v>
      </c>
      <c r="G45">
        <v>1</v>
      </c>
      <c r="H45" t="s">
        <v>52</v>
      </c>
      <c r="I45">
        <v>0</v>
      </c>
    </row>
    <row r="46" spans="1:9" ht="21.95" customHeight="1">
      <c r="A46" t="s">
        <v>227</v>
      </c>
      <c r="B46" t="s">
        <v>482</v>
      </c>
      <c r="C46" t="s">
        <v>104</v>
      </c>
      <c r="D46" t="s">
        <v>105</v>
      </c>
      <c r="E46" t="s">
        <v>485</v>
      </c>
      <c r="F46" t="s">
        <v>114</v>
      </c>
      <c r="G46">
        <v>2</v>
      </c>
      <c r="H46" t="s">
        <v>157</v>
      </c>
      <c r="I46">
        <v>0</v>
      </c>
    </row>
    <row r="47" spans="1:9" ht="21.95" customHeight="1">
      <c r="A47" t="s">
        <v>228</v>
      </c>
      <c r="B47" t="s">
        <v>484</v>
      </c>
      <c r="C47" t="s">
        <v>113</v>
      </c>
      <c r="D47" t="s">
        <v>114</v>
      </c>
      <c r="E47" t="s">
        <v>485</v>
      </c>
      <c r="F47" t="s">
        <v>486</v>
      </c>
      <c r="G47">
        <v>1</v>
      </c>
      <c r="H47" t="s">
        <v>45</v>
      </c>
      <c r="I47">
        <v>0</v>
      </c>
    </row>
    <row r="48" spans="1:9" ht="21.95" customHeight="1">
      <c r="A48" t="s">
        <v>229</v>
      </c>
      <c r="B48" t="s">
        <v>484</v>
      </c>
      <c r="C48" t="s">
        <v>123</v>
      </c>
      <c r="D48" t="s">
        <v>124</v>
      </c>
      <c r="E48" t="s">
        <v>483</v>
      </c>
      <c r="F48" t="s">
        <v>105</v>
      </c>
      <c r="G48">
        <v>3</v>
      </c>
      <c r="H48" t="s">
        <v>168</v>
      </c>
      <c r="I48">
        <v>0</v>
      </c>
    </row>
    <row r="49" spans="1:9" ht="21.95" customHeight="1">
      <c r="A49" t="s">
        <v>230</v>
      </c>
      <c r="B49" t="s">
        <v>484</v>
      </c>
      <c r="C49" t="s">
        <v>123</v>
      </c>
      <c r="D49" t="s">
        <v>124</v>
      </c>
      <c r="E49" t="s">
        <v>483</v>
      </c>
      <c r="F49" t="s">
        <v>114</v>
      </c>
      <c r="G49">
        <v>3</v>
      </c>
      <c r="H49" t="s">
        <v>204</v>
      </c>
      <c r="I49">
        <v>0</v>
      </c>
    </row>
    <row r="50" spans="1:9" ht="21.95" customHeight="1">
      <c r="A50" t="s">
        <v>237</v>
      </c>
      <c r="B50" t="s">
        <v>482</v>
      </c>
      <c r="C50" t="s">
        <v>104</v>
      </c>
      <c r="D50" t="s">
        <v>105</v>
      </c>
      <c r="E50" t="s">
        <v>483</v>
      </c>
      <c r="F50" t="s">
        <v>107</v>
      </c>
      <c r="G50">
        <v>4</v>
      </c>
      <c r="H50" t="s">
        <v>238</v>
      </c>
      <c r="I50">
        <v>0</v>
      </c>
    </row>
    <row r="51" spans="1:9" ht="21.95" customHeight="1">
      <c r="A51" t="s">
        <v>239</v>
      </c>
      <c r="B51" t="s">
        <v>482</v>
      </c>
      <c r="C51" t="s">
        <v>129</v>
      </c>
      <c r="D51" t="s">
        <v>130</v>
      </c>
      <c r="E51" t="s">
        <v>483</v>
      </c>
      <c r="F51" t="s">
        <v>486</v>
      </c>
      <c r="G51">
        <v>1</v>
      </c>
      <c r="H51" t="s">
        <v>52</v>
      </c>
      <c r="I51">
        <v>0</v>
      </c>
    </row>
    <row r="52" spans="1:9" ht="21.95" customHeight="1">
      <c r="A52" t="s">
        <v>240</v>
      </c>
      <c r="B52" t="s">
        <v>482</v>
      </c>
      <c r="C52" t="s">
        <v>106</v>
      </c>
      <c r="D52" t="s">
        <v>107</v>
      </c>
      <c r="E52" t="s">
        <v>483</v>
      </c>
      <c r="F52" t="s">
        <v>126</v>
      </c>
      <c r="G52">
        <v>4</v>
      </c>
      <c r="H52" t="s">
        <v>241</v>
      </c>
      <c r="I52">
        <v>0</v>
      </c>
    </row>
    <row r="53" spans="1:9" ht="21.95" customHeight="1">
      <c r="A53" t="s">
        <v>242</v>
      </c>
      <c r="B53" t="s">
        <v>482</v>
      </c>
      <c r="C53" t="s">
        <v>106</v>
      </c>
      <c r="D53" t="s">
        <v>107</v>
      </c>
      <c r="E53" t="s">
        <v>483</v>
      </c>
      <c r="F53" t="s">
        <v>120</v>
      </c>
      <c r="G53">
        <v>1</v>
      </c>
      <c r="H53" t="s">
        <v>49</v>
      </c>
      <c r="I53">
        <v>0</v>
      </c>
    </row>
    <row r="54" spans="1:9" ht="21.95" customHeight="1">
      <c r="A54" t="s">
        <v>243</v>
      </c>
      <c r="B54" t="s">
        <v>482</v>
      </c>
      <c r="C54" t="s">
        <v>115</v>
      </c>
      <c r="D54" t="s">
        <v>116</v>
      </c>
      <c r="E54" t="s">
        <v>483</v>
      </c>
      <c r="F54" t="s">
        <v>124</v>
      </c>
      <c r="G54">
        <v>4</v>
      </c>
      <c r="H54" t="s">
        <v>244</v>
      </c>
      <c r="I54">
        <v>0</v>
      </c>
    </row>
    <row r="55" spans="1:9" ht="21.95" customHeight="1">
      <c r="A55" t="s">
        <v>245</v>
      </c>
      <c r="B55" t="s">
        <v>482</v>
      </c>
      <c r="C55" t="s">
        <v>125</v>
      </c>
      <c r="D55" t="s">
        <v>126</v>
      </c>
      <c r="E55" t="s">
        <v>483</v>
      </c>
      <c r="F55" t="s">
        <v>130</v>
      </c>
      <c r="G55">
        <v>1</v>
      </c>
      <c r="H55" t="s">
        <v>52</v>
      </c>
      <c r="I55">
        <v>0</v>
      </c>
    </row>
    <row r="56" spans="1:9" ht="21.95" customHeight="1">
      <c r="A56" t="s">
        <v>245</v>
      </c>
      <c r="B56" t="s">
        <v>484</v>
      </c>
      <c r="C56" t="s">
        <v>129</v>
      </c>
      <c r="D56" t="s">
        <v>130</v>
      </c>
      <c r="E56" t="s">
        <v>483</v>
      </c>
      <c r="F56" t="s">
        <v>126</v>
      </c>
      <c r="G56">
        <v>1</v>
      </c>
      <c r="H56" t="s">
        <v>52</v>
      </c>
      <c r="I56">
        <v>0</v>
      </c>
    </row>
    <row r="57" spans="1:9" ht="21.95" customHeight="1">
      <c r="A57" t="s">
        <v>247</v>
      </c>
      <c r="B57" t="s">
        <v>482</v>
      </c>
      <c r="C57" t="s">
        <v>127</v>
      </c>
      <c r="D57" t="s">
        <v>128</v>
      </c>
      <c r="E57" t="s">
        <v>483</v>
      </c>
      <c r="F57" t="s">
        <v>105</v>
      </c>
      <c r="G57">
        <v>5</v>
      </c>
      <c r="H57" t="s">
        <v>248</v>
      </c>
      <c r="I57">
        <v>0</v>
      </c>
    </row>
    <row r="58" spans="1:9" ht="21.95" customHeight="1">
      <c r="A58" t="s">
        <v>247</v>
      </c>
      <c r="B58" t="s">
        <v>484</v>
      </c>
      <c r="C58" t="s">
        <v>104</v>
      </c>
      <c r="D58" t="s">
        <v>105</v>
      </c>
      <c r="E58" t="s">
        <v>483</v>
      </c>
      <c r="F58" t="s">
        <v>120</v>
      </c>
      <c r="G58">
        <v>5</v>
      </c>
      <c r="H58" t="s">
        <v>248</v>
      </c>
      <c r="I58">
        <v>0</v>
      </c>
    </row>
    <row r="59" spans="1:9" ht="21.95" customHeight="1">
      <c r="A59" t="s">
        <v>249</v>
      </c>
      <c r="B59" t="s">
        <v>482</v>
      </c>
      <c r="C59" t="s">
        <v>121</v>
      </c>
      <c r="D59" t="s">
        <v>122</v>
      </c>
      <c r="E59" t="s">
        <v>483</v>
      </c>
      <c r="F59" t="s">
        <v>114</v>
      </c>
      <c r="G59">
        <v>5</v>
      </c>
      <c r="H59" t="s">
        <v>250</v>
      </c>
      <c r="I59">
        <v>0</v>
      </c>
    </row>
    <row r="60" spans="1:9" ht="21.95" customHeight="1">
      <c r="A60" t="s">
        <v>249</v>
      </c>
      <c r="B60" t="s">
        <v>484</v>
      </c>
      <c r="C60" t="s">
        <v>113</v>
      </c>
      <c r="D60" t="s">
        <v>114</v>
      </c>
      <c r="E60" t="s">
        <v>483</v>
      </c>
      <c r="F60" t="s">
        <v>122</v>
      </c>
      <c r="G60">
        <v>5</v>
      </c>
      <c r="H60" t="s">
        <v>250</v>
      </c>
      <c r="I60">
        <v>0</v>
      </c>
    </row>
    <row r="61" spans="1:9" ht="21.95" customHeight="1">
      <c r="A61" t="s">
        <v>251</v>
      </c>
      <c r="B61" t="s">
        <v>482</v>
      </c>
      <c r="C61" t="s">
        <v>113</v>
      </c>
      <c r="D61" t="s">
        <v>114</v>
      </c>
      <c r="E61" t="s">
        <v>483</v>
      </c>
      <c r="F61" t="s">
        <v>107</v>
      </c>
      <c r="G61">
        <v>5</v>
      </c>
      <c r="H61" t="s">
        <v>252</v>
      </c>
      <c r="I61">
        <v>0</v>
      </c>
    </row>
    <row r="62" spans="1:9" ht="21.95" customHeight="1">
      <c r="A62" t="s">
        <v>251</v>
      </c>
      <c r="B62" t="s">
        <v>484</v>
      </c>
      <c r="C62" t="s">
        <v>106</v>
      </c>
      <c r="D62" t="s">
        <v>107</v>
      </c>
      <c r="E62" t="s">
        <v>483</v>
      </c>
      <c r="F62" t="s">
        <v>114</v>
      </c>
      <c r="G62">
        <v>5</v>
      </c>
      <c r="H62" t="s">
        <v>252</v>
      </c>
      <c r="I62">
        <v>0</v>
      </c>
    </row>
    <row r="63" spans="1:9" ht="21.95" customHeight="1">
      <c r="A63" t="s">
        <v>253</v>
      </c>
      <c r="B63" t="s">
        <v>482</v>
      </c>
      <c r="C63" t="s">
        <v>104</v>
      </c>
      <c r="D63" t="s">
        <v>105</v>
      </c>
      <c r="E63" t="s">
        <v>483</v>
      </c>
      <c r="F63" t="s">
        <v>109</v>
      </c>
      <c r="G63">
        <v>5</v>
      </c>
      <c r="H63" t="s">
        <v>254</v>
      </c>
      <c r="I63">
        <v>0</v>
      </c>
    </row>
    <row r="64" spans="1:9" ht="21.95" customHeight="1">
      <c r="A64" t="s">
        <v>253</v>
      </c>
      <c r="B64" t="s">
        <v>484</v>
      </c>
      <c r="C64" t="s">
        <v>108</v>
      </c>
      <c r="D64" t="s">
        <v>109</v>
      </c>
      <c r="E64" t="s">
        <v>483</v>
      </c>
      <c r="F64" t="s">
        <v>105</v>
      </c>
      <c r="G64">
        <v>5</v>
      </c>
      <c r="H64" t="s">
        <v>254</v>
      </c>
      <c r="I64">
        <v>0</v>
      </c>
    </row>
    <row r="65" spans="1:9" ht="21.95" customHeight="1">
      <c r="A65" t="s">
        <v>255</v>
      </c>
      <c r="B65" t="s">
        <v>482</v>
      </c>
      <c r="C65" t="s">
        <v>108</v>
      </c>
      <c r="D65" t="s">
        <v>109</v>
      </c>
      <c r="E65" t="s">
        <v>483</v>
      </c>
      <c r="F65" t="s">
        <v>114</v>
      </c>
      <c r="G65">
        <v>1</v>
      </c>
      <c r="H65" t="s">
        <v>51</v>
      </c>
      <c r="I65">
        <v>1</v>
      </c>
    </row>
    <row r="66" spans="1:9" ht="21.95" customHeight="1">
      <c r="A66" t="s">
        <v>255</v>
      </c>
      <c r="B66" t="s">
        <v>484</v>
      </c>
      <c r="C66" t="s">
        <v>108</v>
      </c>
      <c r="D66" t="s">
        <v>109</v>
      </c>
      <c r="E66" t="s">
        <v>483</v>
      </c>
      <c r="F66" t="s">
        <v>114</v>
      </c>
      <c r="G66">
        <v>1</v>
      </c>
      <c r="H66" t="s">
        <v>51</v>
      </c>
      <c r="I66">
        <v>1</v>
      </c>
    </row>
    <row r="67" spans="1:9" ht="21.95" customHeight="1">
      <c r="A67" t="s">
        <v>256</v>
      </c>
      <c r="B67" t="s">
        <v>484</v>
      </c>
      <c r="C67" t="s">
        <v>123</v>
      </c>
      <c r="D67" t="s">
        <v>124</v>
      </c>
      <c r="E67" t="s">
        <v>483</v>
      </c>
      <c r="F67" t="s">
        <v>114</v>
      </c>
      <c r="G67">
        <v>4</v>
      </c>
      <c r="H67" t="s">
        <v>257</v>
      </c>
      <c r="I67">
        <v>0</v>
      </c>
    </row>
    <row r="68" spans="1:9" ht="21.95" customHeight="1">
      <c r="A68" t="s">
        <v>258</v>
      </c>
      <c r="B68" t="s">
        <v>482</v>
      </c>
      <c r="C68" t="s">
        <v>121</v>
      </c>
      <c r="D68" t="s">
        <v>122</v>
      </c>
      <c r="E68" t="s">
        <v>483</v>
      </c>
      <c r="F68" t="s">
        <v>114</v>
      </c>
      <c r="G68">
        <v>1</v>
      </c>
      <c r="H68" t="s">
        <v>51</v>
      </c>
      <c r="I68">
        <v>0</v>
      </c>
    </row>
    <row r="69" spans="1:9" ht="21.95" customHeight="1">
      <c r="A69" t="s">
        <v>258</v>
      </c>
      <c r="B69" t="s">
        <v>484</v>
      </c>
      <c r="C69" t="s">
        <v>121</v>
      </c>
      <c r="D69" t="s">
        <v>122</v>
      </c>
      <c r="E69" t="s">
        <v>483</v>
      </c>
      <c r="F69" t="s">
        <v>114</v>
      </c>
      <c r="G69">
        <v>1</v>
      </c>
      <c r="H69" t="s">
        <v>51</v>
      </c>
      <c r="I69">
        <v>0</v>
      </c>
    </row>
    <row r="70" spans="1:9" ht="21.95" customHeight="1">
      <c r="A70" t="s">
        <v>259</v>
      </c>
      <c r="B70" t="s">
        <v>484</v>
      </c>
      <c r="C70" t="s">
        <v>121</v>
      </c>
      <c r="D70" t="s">
        <v>122</v>
      </c>
      <c r="E70" t="s">
        <v>483</v>
      </c>
      <c r="F70" t="s">
        <v>114</v>
      </c>
      <c r="G70">
        <v>4</v>
      </c>
      <c r="H70" t="s">
        <v>260</v>
      </c>
      <c r="I70">
        <v>0</v>
      </c>
    </row>
    <row r="71" spans="1:9" ht="21.95" customHeight="1">
      <c r="A71" t="s">
        <v>261</v>
      </c>
      <c r="B71" t="s">
        <v>482</v>
      </c>
      <c r="C71" t="s">
        <v>106</v>
      </c>
      <c r="D71" t="s">
        <v>107</v>
      </c>
      <c r="E71" t="s">
        <v>483</v>
      </c>
      <c r="F71" t="s">
        <v>116</v>
      </c>
      <c r="G71">
        <v>5</v>
      </c>
      <c r="H71" t="s">
        <v>262</v>
      </c>
      <c r="I71">
        <v>0</v>
      </c>
    </row>
    <row r="72" spans="1:9" ht="21.95" customHeight="1">
      <c r="A72" t="s">
        <v>263</v>
      </c>
      <c r="B72" t="s">
        <v>482</v>
      </c>
      <c r="C72" t="s">
        <v>119</v>
      </c>
      <c r="D72" t="s">
        <v>120</v>
      </c>
      <c r="E72" t="s">
        <v>483</v>
      </c>
      <c r="F72" t="s">
        <v>116</v>
      </c>
      <c r="G72">
        <v>1</v>
      </c>
      <c r="H72" t="s">
        <v>41</v>
      </c>
      <c r="I72">
        <v>0</v>
      </c>
    </row>
    <row r="73" spans="1:9" ht="21.95" customHeight="1">
      <c r="A73" t="s">
        <v>264</v>
      </c>
      <c r="B73" t="s">
        <v>482</v>
      </c>
      <c r="C73" t="s">
        <v>108</v>
      </c>
      <c r="D73" t="s">
        <v>109</v>
      </c>
      <c r="E73" t="s">
        <v>483</v>
      </c>
      <c r="F73" t="s">
        <v>114</v>
      </c>
      <c r="G73">
        <v>3</v>
      </c>
      <c r="H73" t="s">
        <v>196</v>
      </c>
      <c r="I73">
        <v>0</v>
      </c>
    </row>
    <row r="74" spans="1:9" ht="21.95" customHeight="1">
      <c r="A74" t="s">
        <v>265</v>
      </c>
      <c r="B74" t="s">
        <v>484</v>
      </c>
      <c r="C74" t="s">
        <v>125</v>
      </c>
      <c r="D74" t="s">
        <v>126</v>
      </c>
      <c r="E74" t="s">
        <v>483</v>
      </c>
      <c r="F74" t="s">
        <v>118</v>
      </c>
      <c r="G74">
        <v>4</v>
      </c>
      <c r="H74" t="s">
        <v>266</v>
      </c>
      <c r="I74">
        <v>0</v>
      </c>
    </row>
    <row r="75" spans="1:9" ht="21.95" customHeight="1">
      <c r="A75" t="s">
        <v>267</v>
      </c>
      <c r="B75" t="s">
        <v>484</v>
      </c>
      <c r="C75" t="s">
        <v>113</v>
      </c>
      <c r="D75" t="s">
        <v>114</v>
      </c>
      <c r="E75" t="s">
        <v>483</v>
      </c>
      <c r="F75" t="s">
        <v>109</v>
      </c>
      <c r="G75">
        <v>1</v>
      </c>
      <c r="H75" t="s">
        <v>51</v>
      </c>
      <c r="I75">
        <v>0</v>
      </c>
    </row>
    <row r="76" spans="1:9" ht="21.95" customHeight="1">
      <c r="A76" t="s">
        <v>268</v>
      </c>
      <c r="B76" t="s">
        <v>484</v>
      </c>
      <c r="C76" t="s">
        <v>106</v>
      </c>
      <c r="D76" t="s">
        <v>107</v>
      </c>
      <c r="E76" t="s">
        <v>483</v>
      </c>
      <c r="F76" t="s">
        <v>118</v>
      </c>
      <c r="G76">
        <v>1</v>
      </c>
      <c r="H76" t="s">
        <v>49</v>
      </c>
      <c r="I76">
        <v>0</v>
      </c>
    </row>
    <row r="77" spans="1:9" ht="21.95" customHeight="1">
      <c r="A77" t="s">
        <v>269</v>
      </c>
      <c r="B77" t="s">
        <v>482</v>
      </c>
      <c r="C77" t="s">
        <v>108</v>
      </c>
      <c r="D77" t="s">
        <v>109</v>
      </c>
      <c r="E77" t="s">
        <v>485</v>
      </c>
      <c r="F77" t="s">
        <v>114</v>
      </c>
      <c r="G77">
        <v>2</v>
      </c>
      <c r="H77" t="s">
        <v>198</v>
      </c>
      <c r="I77">
        <v>0</v>
      </c>
    </row>
    <row r="78" spans="1:9" ht="21.95" customHeight="1">
      <c r="A78" t="s">
        <v>270</v>
      </c>
      <c r="B78" t="s">
        <v>484</v>
      </c>
      <c r="C78" t="s">
        <v>106</v>
      </c>
      <c r="D78" t="s">
        <v>107</v>
      </c>
      <c r="E78" t="s">
        <v>483</v>
      </c>
      <c r="F78" t="s">
        <v>122</v>
      </c>
      <c r="G78">
        <v>4</v>
      </c>
      <c r="H78" t="s">
        <v>271</v>
      </c>
      <c r="I78">
        <v>0</v>
      </c>
    </row>
    <row r="79" spans="1:9" ht="21.95" customHeight="1">
      <c r="A79" t="s">
        <v>272</v>
      </c>
      <c r="B79" t="s">
        <v>484</v>
      </c>
      <c r="C79" t="s">
        <v>106</v>
      </c>
      <c r="D79" t="s">
        <v>107</v>
      </c>
      <c r="E79" t="s">
        <v>483</v>
      </c>
      <c r="F79" t="s">
        <v>109</v>
      </c>
      <c r="G79">
        <v>4</v>
      </c>
      <c r="H79" t="s">
        <v>273</v>
      </c>
      <c r="I79">
        <v>0</v>
      </c>
    </row>
    <row r="80" spans="1:9" ht="21.95" customHeight="1">
      <c r="A80" t="s">
        <v>274</v>
      </c>
      <c r="B80" t="s">
        <v>482</v>
      </c>
      <c r="C80" t="s">
        <v>115</v>
      </c>
      <c r="D80" t="s">
        <v>116</v>
      </c>
      <c r="E80" t="s">
        <v>483</v>
      </c>
      <c r="F80" t="s">
        <v>109</v>
      </c>
      <c r="G80">
        <v>3</v>
      </c>
      <c r="H80" t="s">
        <v>275</v>
      </c>
      <c r="I80">
        <v>0</v>
      </c>
    </row>
    <row r="81" spans="1:9" ht="21.95" customHeight="1">
      <c r="A81" t="s">
        <v>274</v>
      </c>
      <c r="B81" t="s">
        <v>484</v>
      </c>
      <c r="C81" t="s">
        <v>115</v>
      </c>
      <c r="D81" t="s">
        <v>116</v>
      </c>
      <c r="E81" t="s">
        <v>483</v>
      </c>
      <c r="F81" t="s">
        <v>109</v>
      </c>
      <c r="G81">
        <v>3</v>
      </c>
      <c r="H81" t="s">
        <v>275</v>
      </c>
      <c r="I81">
        <v>0</v>
      </c>
    </row>
    <row r="82" spans="1:9" ht="21.95" customHeight="1">
      <c r="A82" t="s">
        <v>276</v>
      </c>
      <c r="B82" t="s">
        <v>482</v>
      </c>
      <c r="C82" t="s">
        <v>106</v>
      </c>
      <c r="D82" t="s">
        <v>107</v>
      </c>
      <c r="E82" t="s">
        <v>483</v>
      </c>
      <c r="F82" t="s">
        <v>109</v>
      </c>
      <c r="G82">
        <v>5</v>
      </c>
      <c r="H82" t="s">
        <v>277</v>
      </c>
      <c r="I82">
        <v>0</v>
      </c>
    </row>
    <row r="83" spans="1:9" ht="21.95" customHeight="1">
      <c r="A83" t="s">
        <v>278</v>
      </c>
      <c r="B83" t="s">
        <v>482</v>
      </c>
      <c r="C83" t="s">
        <v>113</v>
      </c>
      <c r="D83" t="s">
        <v>114</v>
      </c>
      <c r="E83" t="s">
        <v>483</v>
      </c>
      <c r="F83" t="s">
        <v>109</v>
      </c>
      <c r="G83">
        <v>3</v>
      </c>
      <c r="H83" t="s">
        <v>279</v>
      </c>
      <c r="I83">
        <v>0</v>
      </c>
    </row>
    <row r="84" spans="1:9" ht="21.95" customHeight="1">
      <c r="A84" t="s">
        <v>280</v>
      </c>
      <c r="B84" t="s">
        <v>484</v>
      </c>
      <c r="C84" t="s">
        <v>108</v>
      </c>
      <c r="D84" t="s">
        <v>109</v>
      </c>
      <c r="E84" t="s">
        <v>483</v>
      </c>
      <c r="F84" t="s">
        <v>118</v>
      </c>
      <c r="G84">
        <v>1</v>
      </c>
      <c r="H84" t="s">
        <v>51</v>
      </c>
      <c r="I84">
        <v>1</v>
      </c>
    </row>
    <row r="85" spans="1:9" ht="21.95" customHeight="1">
      <c r="A85" t="s">
        <v>281</v>
      </c>
      <c r="B85" t="s">
        <v>484</v>
      </c>
      <c r="C85" t="s">
        <v>113</v>
      </c>
      <c r="D85" t="s">
        <v>114</v>
      </c>
      <c r="E85" t="s">
        <v>483</v>
      </c>
      <c r="F85" t="s">
        <v>109</v>
      </c>
      <c r="G85">
        <v>2</v>
      </c>
      <c r="H85" t="s">
        <v>282</v>
      </c>
      <c r="I85">
        <v>0</v>
      </c>
    </row>
    <row r="86" spans="1:9" ht="21.95" customHeight="1">
      <c r="A86" t="s">
        <v>283</v>
      </c>
      <c r="B86" t="s">
        <v>482</v>
      </c>
      <c r="C86" t="s">
        <v>106</v>
      </c>
      <c r="D86" t="s">
        <v>107</v>
      </c>
      <c r="E86" t="s">
        <v>483</v>
      </c>
      <c r="F86" t="s">
        <v>109</v>
      </c>
      <c r="G86">
        <v>5</v>
      </c>
      <c r="H86" t="s">
        <v>284</v>
      </c>
      <c r="I86">
        <v>0</v>
      </c>
    </row>
    <row r="87" spans="1:9" ht="21.95" customHeight="1">
      <c r="A87" t="s">
        <v>285</v>
      </c>
      <c r="B87" t="s">
        <v>482</v>
      </c>
      <c r="C87" t="s">
        <v>113</v>
      </c>
      <c r="D87" t="s">
        <v>114</v>
      </c>
      <c r="E87" t="s">
        <v>483</v>
      </c>
      <c r="F87" t="s">
        <v>130</v>
      </c>
      <c r="G87">
        <v>1</v>
      </c>
      <c r="H87" t="s">
        <v>52</v>
      </c>
      <c r="I87">
        <v>0</v>
      </c>
    </row>
    <row r="88" spans="1:9" ht="21.95" customHeight="1">
      <c r="A88" t="s">
        <v>286</v>
      </c>
      <c r="B88" t="s">
        <v>484</v>
      </c>
      <c r="C88" t="s">
        <v>113</v>
      </c>
      <c r="D88" t="s">
        <v>114</v>
      </c>
      <c r="E88" t="s">
        <v>485</v>
      </c>
      <c r="F88" t="s">
        <v>130</v>
      </c>
      <c r="G88">
        <v>1</v>
      </c>
      <c r="H88" t="s">
        <v>45</v>
      </c>
      <c r="I88">
        <v>0</v>
      </c>
    </row>
    <row r="89" spans="1:9" ht="21.95" customHeight="1">
      <c r="A89" t="s">
        <v>287</v>
      </c>
      <c r="B89" t="s">
        <v>482</v>
      </c>
      <c r="C89" t="s">
        <v>117</v>
      </c>
      <c r="D89" t="s">
        <v>118</v>
      </c>
      <c r="E89" t="s">
        <v>483</v>
      </c>
      <c r="F89" t="s">
        <v>128</v>
      </c>
      <c r="G89">
        <v>3</v>
      </c>
      <c r="H89" t="s">
        <v>288</v>
      </c>
      <c r="I89">
        <v>0</v>
      </c>
    </row>
    <row r="90" spans="1:9" ht="21.95" customHeight="1">
      <c r="A90" t="s">
        <v>287</v>
      </c>
      <c r="B90" t="s">
        <v>484</v>
      </c>
      <c r="C90" t="s">
        <v>117</v>
      </c>
      <c r="D90" t="s">
        <v>118</v>
      </c>
      <c r="E90" t="s">
        <v>483</v>
      </c>
      <c r="F90" t="s">
        <v>128</v>
      </c>
      <c r="G90">
        <v>3</v>
      </c>
      <c r="H90" t="s">
        <v>288</v>
      </c>
      <c r="I90">
        <v>0</v>
      </c>
    </row>
    <row r="91" spans="1:9" ht="21.95" customHeight="1">
      <c r="A91" t="s">
        <v>289</v>
      </c>
      <c r="B91" t="s">
        <v>482</v>
      </c>
      <c r="C91" t="s">
        <v>108</v>
      </c>
      <c r="D91" t="s">
        <v>109</v>
      </c>
      <c r="E91" t="s">
        <v>483</v>
      </c>
      <c r="F91" t="s">
        <v>114</v>
      </c>
      <c r="G91">
        <v>1</v>
      </c>
      <c r="H91" t="s">
        <v>43</v>
      </c>
      <c r="I91">
        <v>0</v>
      </c>
    </row>
    <row r="92" spans="1:9" ht="21.95" customHeight="1">
      <c r="A92" t="s">
        <v>290</v>
      </c>
      <c r="B92" t="s">
        <v>484</v>
      </c>
      <c r="C92" t="s">
        <v>106</v>
      </c>
      <c r="D92" t="s">
        <v>107</v>
      </c>
      <c r="E92" t="s">
        <v>483</v>
      </c>
      <c r="F92" t="s">
        <v>118</v>
      </c>
      <c r="G92">
        <v>4</v>
      </c>
      <c r="H92" t="s">
        <v>291</v>
      </c>
      <c r="I92">
        <v>0</v>
      </c>
    </row>
    <row r="93" spans="1:9" ht="21.95" customHeight="1">
      <c r="A93" t="s">
        <v>292</v>
      </c>
      <c r="B93" t="s">
        <v>482</v>
      </c>
      <c r="C93" t="s">
        <v>115</v>
      </c>
      <c r="D93" t="s">
        <v>116</v>
      </c>
      <c r="E93" t="s">
        <v>483</v>
      </c>
      <c r="F93" t="s">
        <v>114</v>
      </c>
      <c r="G93">
        <v>1</v>
      </c>
      <c r="H93" t="s">
        <v>39</v>
      </c>
      <c r="I93">
        <v>0</v>
      </c>
    </row>
    <row r="94" spans="1:9" ht="21.95" customHeight="1">
      <c r="A94" t="s">
        <v>293</v>
      </c>
      <c r="B94" t="s">
        <v>484</v>
      </c>
      <c r="C94" t="s">
        <v>117</v>
      </c>
      <c r="D94" t="s">
        <v>118</v>
      </c>
      <c r="E94" t="s">
        <v>483</v>
      </c>
      <c r="F94" t="s">
        <v>109</v>
      </c>
      <c r="G94">
        <v>4</v>
      </c>
      <c r="H94" t="s">
        <v>294</v>
      </c>
      <c r="I94">
        <v>0</v>
      </c>
    </row>
    <row r="95" spans="1:9" ht="21.95" customHeight="1">
      <c r="A95" t="s">
        <v>295</v>
      </c>
      <c r="B95" t="s">
        <v>482</v>
      </c>
      <c r="C95" t="s">
        <v>129</v>
      </c>
      <c r="D95" t="s">
        <v>130</v>
      </c>
      <c r="E95" t="s">
        <v>483</v>
      </c>
      <c r="F95" t="s">
        <v>486</v>
      </c>
      <c r="G95">
        <v>1</v>
      </c>
      <c r="H95" t="s">
        <v>52</v>
      </c>
      <c r="I95">
        <v>0</v>
      </c>
    </row>
    <row r="96" spans="1:9" ht="21.95" customHeight="1">
      <c r="A96" t="s">
        <v>295</v>
      </c>
      <c r="B96" t="s">
        <v>484</v>
      </c>
      <c r="C96" t="s">
        <v>129</v>
      </c>
      <c r="D96" t="s">
        <v>130</v>
      </c>
      <c r="E96" t="s">
        <v>483</v>
      </c>
      <c r="F96" t="s">
        <v>486</v>
      </c>
      <c r="G96">
        <v>1</v>
      </c>
      <c r="H96" t="s">
        <v>52</v>
      </c>
      <c r="I96">
        <v>0</v>
      </c>
    </row>
    <row r="97" spans="1:9" ht="21.95" customHeight="1">
      <c r="A97" t="s">
        <v>296</v>
      </c>
      <c r="B97" t="s">
        <v>482</v>
      </c>
      <c r="C97" t="s">
        <v>113</v>
      </c>
      <c r="D97" t="s">
        <v>114</v>
      </c>
      <c r="E97" t="s">
        <v>483</v>
      </c>
      <c r="F97" t="s">
        <v>486</v>
      </c>
      <c r="G97">
        <v>1</v>
      </c>
      <c r="H97" t="s">
        <v>51</v>
      </c>
      <c r="I97">
        <v>0</v>
      </c>
    </row>
    <row r="98" spans="1:9" ht="21.95" customHeight="1">
      <c r="A98" t="s">
        <v>297</v>
      </c>
      <c r="B98" t="s">
        <v>484</v>
      </c>
      <c r="C98" t="s">
        <v>106</v>
      </c>
      <c r="D98" t="s">
        <v>107</v>
      </c>
      <c r="E98" t="s">
        <v>483</v>
      </c>
      <c r="F98" t="s">
        <v>105</v>
      </c>
      <c r="G98">
        <v>2</v>
      </c>
      <c r="H98" t="s">
        <v>298</v>
      </c>
      <c r="I98">
        <v>0</v>
      </c>
    </row>
    <row r="99" spans="1:9" ht="21.95" customHeight="1">
      <c r="A99" t="s">
        <v>307</v>
      </c>
      <c r="B99" t="s">
        <v>482</v>
      </c>
      <c r="C99" t="s">
        <v>106</v>
      </c>
      <c r="D99" t="s">
        <v>107</v>
      </c>
      <c r="E99" t="s">
        <v>483</v>
      </c>
      <c r="F99" t="s">
        <v>109</v>
      </c>
      <c r="G99">
        <v>3</v>
      </c>
      <c r="H99" t="s">
        <v>308</v>
      </c>
      <c r="I99">
        <v>0</v>
      </c>
    </row>
    <row r="100" spans="1:9" ht="21.95" customHeight="1">
      <c r="A100" t="s">
        <v>309</v>
      </c>
      <c r="B100" t="s">
        <v>484</v>
      </c>
      <c r="C100" t="s">
        <v>119</v>
      </c>
      <c r="D100" t="s">
        <v>120</v>
      </c>
      <c r="E100" t="s">
        <v>485</v>
      </c>
      <c r="F100" t="s">
        <v>114</v>
      </c>
      <c r="G100">
        <v>1</v>
      </c>
      <c r="H100" t="s">
        <v>41</v>
      </c>
      <c r="I100">
        <v>0</v>
      </c>
    </row>
    <row r="101" spans="1:9" ht="21.95" customHeight="1">
      <c r="A101" t="s">
        <v>310</v>
      </c>
      <c r="B101" t="s">
        <v>482</v>
      </c>
      <c r="C101" t="s">
        <v>108</v>
      </c>
      <c r="D101" t="s">
        <v>109</v>
      </c>
      <c r="E101" t="s">
        <v>483</v>
      </c>
      <c r="F101" t="s">
        <v>114</v>
      </c>
      <c r="G101">
        <v>1</v>
      </c>
      <c r="H101" t="s">
        <v>51</v>
      </c>
      <c r="I101">
        <v>1</v>
      </c>
    </row>
    <row r="102" spans="1:9" ht="21.95" customHeight="1">
      <c r="A102" t="s">
        <v>310</v>
      </c>
      <c r="B102" t="s">
        <v>484</v>
      </c>
      <c r="C102" t="s">
        <v>108</v>
      </c>
      <c r="D102" t="s">
        <v>109</v>
      </c>
      <c r="E102" t="s">
        <v>483</v>
      </c>
      <c r="F102" t="s">
        <v>114</v>
      </c>
      <c r="G102">
        <v>1</v>
      </c>
      <c r="H102" t="s">
        <v>51</v>
      </c>
      <c r="I102">
        <v>1</v>
      </c>
    </row>
    <row r="103" spans="1:9" ht="21.95" customHeight="1">
      <c r="A103" t="s">
        <v>313</v>
      </c>
      <c r="B103" t="s">
        <v>484</v>
      </c>
      <c r="C103" t="s">
        <v>113</v>
      </c>
      <c r="D103" t="s">
        <v>114</v>
      </c>
      <c r="E103" t="s">
        <v>485</v>
      </c>
      <c r="F103" t="s">
        <v>109</v>
      </c>
      <c r="G103">
        <v>1</v>
      </c>
      <c r="H103" t="s">
        <v>51</v>
      </c>
      <c r="I103">
        <v>0</v>
      </c>
    </row>
    <row r="104" spans="1:9" ht="21.95" customHeight="1">
      <c r="A104" t="s">
        <v>317</v>
      </c>
      <c r="B104" t="s">
        <v>484</v>
      </c>
      <c r="C104" t="s">
        <v>129</v>
      </c>
      <c r="D104" t="s">
        <v>130</v>
      </c>
      <c r="E104" t="s">
        <v>483</v>
      </c>
      <c r="F104" t="s">
        <v>486</v>
      </c>
      <c r="G104">
        <v>1</v>
      </c>
      <c r="H104" t="s">
        <v>51</v>
      </c>
      <c r="I104">
        <v>0</v>
      </c>
    </row>
    <row r="105" spans="1:9" ht="21.95" customHeight="1">
      <c r="A105" t="s">
        <v>319</v>
      </c>
      <c r="B105" t="s">
        <v>484</v>
      </c>
      <c r="C105" t="s">
        <v>106</v>
      </c>
      <c r="D105" t="s">
        <v>107</v>
      </c>
      <c r="E105" t="s">
        <v>483</v>
      </c>
      <c r="F105" t="s">
        <v>120</v>
      </c>
      <c r="G105">
        <v>4</v>
      </c>
      <c r="H105" t="s">
        <v>320</v>
      </c>
      <c r="I105">
        <v>0</v>
      </c>
    </row>
    <row r="106" spans="1:9" ht="21.95" customHeight="1">
      <c r="A106" t="s">
        <v>321</v>
      </c>
      <c r="B106" t="s">
        <v>482</v>
      </c>
      <c r="C106" t="s">
        <v>106</v>
      </c>
      <c r="D106" t="s">
        <v>107</v>
      </c>
      <c r="E106" t="s">
        <v>483</v>
      </c>
      <c r="F106" t="s">
        <v>105</v>
      </c>
      <c r="G106">
        <v>4</v>
      </c>
      <c r="H106" t="s">
        <v>322</v>
      </c>
      <c r="I106">
        <v>0</v>
      </c>
    </row>
    <row r="107" spans="1:9" ht="21.95" customHeight="1">
      <c r="A107" t="s">
        <v>323</v>
      </c>
      <c r="B107" t="s">
        <v>484</v>
      </c>
      <c r="C107" t="s">
        <v>113</v>
      </c>
      <c r="D107" t="s">
        <v>114</v>
      </c>
      <c r="E107" t="s">
        <v>483</v>
      </c>
      <c r="F107" t="s">
        <v>118</v>
      </c>
      <c r="G107">
        <v>2</v>
      </c>
      <c r="H107" t="s">
        <v>324</v>
      </c>
      <c r="I107">
        <v>0</v>
      </c>
    </row>
    <row r="108" spans="1:9" ht="21.95" customHeight="1">
      <c r="A108" t="s">
        <v>325</v>
      </c>
      <c r="B108" t="s">
        <v>484</v>
      </c>
      <c r="C108" t="s">
        <v>104</v>
      </c>
      <c r="D108" t="s">
        <v>105</v>
      </c>
      <c r="E108" t="s">
        <v>485</v>
      </c>
      <c r="F108" t="s">
        <v>126</v>
      </c>
      <c r="G108">
        <v>2</v>
      </c>
      <c r="H108" t="s">
        <v>157</v>
      </c>
      <c r="I108">
        <v>0</v>
      </c>
    </row>
    <row r="109" spans="1:9" ht="21.95" customHeight="1">
      <c r="A109" t="s">
        <v>326</v>
      </c>
      <c r="B109" t="s">
        <v>482</v>
      </c>
      <c r="C109" t="s">
        <v>127</v>
      </c>
      <c r="D109" t="s">
        <v>128</v>
      </c>
      <c r="E109" t="s">
        <v>483</v>
      </c>
      <c r="F109" t="s">
        <v>114</v>
      </c>
      <c r="G109">
        <v>1</v>
      </c>
      <c r="H109" t="s">
        <v>51</v>
      </c>
      <c r="I109">
        <v>0</v>
      </c>
    </row>
    <row r="110" spans="1:9" ht="21.95" customHeight="1">
      <c r="A110" t="s">
        <v>327</v>
      </c>
      <c r="B110" t="s">
        <v>484</v>
      </c>
      <c r="C110" t="s">
        <v>123</v>
      </c>
      <c r="D110" t="s">
        <v>124</v>
      </c>
      <c r="E110" t="s">
        <v>485</v>
      </c>
      <c r="F110" t="s">
        <v>114</v>
      </c>
      <c r="G110">
        <v>1</v>
      </c>
      <c r="H110" t="s">
        <v>45</v>
      </c>
      <c r="I110">
        <v>0</v>
      </c>
    </row>
    <row r="111" spans="1:9" ht="21.95" customHeight="1">
      <c r="A111" t="s">
        <v>328</v>
      </c>
      <c r="B111" t="s">
        <v>482</v>
      </c>
      <c r="C111" t="s">
        <v>108</v>
      </c>
      <c r="D111" t="s">
        <v>109</v>
      </c>
      <c r="E111" t="s">
        <v>483</v>
      </c>
      <c r="F111" t="s">
        <v>114</v>
      </c>
      <c r="G111">
        <v>1</v>
      </c>
      <c r="H111" t="s">
        <v>51</v>
      </c>
      <c r="I111">
        <v>1</v>
      </c>
    </row>
    <row r="112" spans="1:9" ht="21.95" customHeight="1">
      <c r="A112" t="s">
        <v>329</v>
      </c>
      <c r="B112" t="s">
        <v>484</v>
      </c>
      <c r="C112" t="s">
        <v>119</v>
      </c>
      <c r="D112" t="s">
        <v>120</v>
      </c>
      <c r="E112" t="s">
        <v>483</v>
      </c>
      <c r="F112" t="s">
        <v>126</v>
      </c>
      <c r="G112">
        <v>4</v>
      </c>
      <c r="H112" t="s">
        <v>330</v>
      </c>
      <c r="I112">
        <v>0</v>
      </c>
    </row>
    <row r="113" spans="1:9" ht="21.95" customHeight="1">
      <c r="A113" t="s">
        <v>331</v>
      </c>
      <c r="B113" t="s">
        <v>482</v>
      </c>
      <c r="C113" t="s">
        <v>104</v>
      </c>
      <c r="D113" t="s">
        <v>105</v>
      </c>
      <c r="E113" t="s">
        <v>483</v>
      </c>
      <c r="F113" t="s">
        <v>126</v>
      </c>
      <c r="G113">
        <v>2</v>
      </c>
      <c r="H113" t="s">
        <v>157</v>
      </c>
      <c r="I113">
        <v>0</v>
      </c>
    </row>
    <row r="114" spans="1:9" ht="21.95" customHeight="1">
      <c r="A114" t="s">
        <v>332</v>
      </c>
      <c r="B114" t="s">
        <v>484</v>
      </c>
      <c r="C114" t="s">
        <v>125</v>
      </c>
      <c r="D114" t="s">
        <v>126</v>
      </c>
      <c r="E114" t="s">
        <v>483</v>
      </c>
      <c r="F114" t="s">
        <v>105</v>
      </c>
      <c r="G114">
        <v>1</v>
      </c>
      <c r="H114" t="s">
        <v>47</v>
      </c>
      <c r="I114">
        <v>0</v>
      </c>
    </row>
    <row r="115" spans="1:9" ht="21.95" customHeight="1">
      <c r="A115" t="s">
        <v>333</v>
      </c>
      <c r="B115" t="s">
        <v>484</v>
      </c>
      <c r="C115" t="s">
        <v>108</v>
      </c>
      <c r="D115" t="s">
        <v>109</v>
      </c>
      <c r="E115" t="s">
        <v>483</v>
      </c>
      <c r="F115" t="s">
        <v>114</v>
      </c>
      <c r="G115">
        <v>2</v>
      </c>
      <c r="H115" t="s">
        <v>200</v>
      </c>
      <c r="I115">
        <v>0</v>
      </c>
    </row>
    <row r="116" spans="1:9" ht="21.95" customHeight="1">
      <c r="A116" t="s">
        <v>334</v>
      </c>
      <c r="B116" t="s">
        <v>484</v>
      </c>
      <c r="C116" t="s">
        <v>113</v>
      </c>
      <c r="D116" t="s">
        <v>114</v>
      </c>
      <c r="E116" t="s">
        <v>485</v>
      </c>
      <c r="F116" t="s">
        <v>126</v>
      </c>
      <c r="G116">
        <v>2</v>
      </c>
      <c r="H116" t="s">
        <v>198</v>
      </c>
      <c r="I116">
        <v>0</v>
      </c>
    </row>
    <row r="117" spans="1:9" ht="21.95" customHeight="1">
      <c r="A117" t="s">
        <v>335</v>
      </c>
      <c r="B117" t="s">
        <v>482</v>
      </c>
      <c r="C117" t="s">
        <v>115</v>
      </c>
      <c r="D117" t="s">
        <v>116</v>
      </c>
      <c r="E117" t="s">
        <v>483</v>
      </c>
      <c r="F117" t="s">
        <v>114</v>
      </c>
      <c r="G117">
        <v>1</v>
      </c>
      <c r="H117" t="s">
        <v>45</v>
      </c>
      <c r="I117">
        <v>0</v>
      </c>
    </row>
    <row r="118" spans="1:9" ht="21.95" customHeight="1">
      <c r="A118" t="s">
        <v>335</v>
      </c>
      <c r="B118" t="s">
        <v>484</v>
      </c>
      <c r="C118" t="s">
        <v>115</v>
      </c>
      <c r="D118" t="s">
        <v>116</v>
      </c>
      <c r="E118" t="s">
        <v>483</v>
      </c>
      <c r="F118" t="s">
        <v>114</v>
      </c>
      <c r="G118">
        <v>1</v>
      </c>
      <c r="H118" t="s">
        <v>45</v>
      </c>
      <c r="I118">
        <v>0</v>
      </c>
    </row>
    <row r="119" spans="1:9" ht="21.95" customHeight="1">
      <c r="A119" t="s">
        <v>336</v>
      </c>
      <c r="B119" t="s">
        <v>482</v>
      </c>
      <c r="C119" t="s">
        <v>104</v>
      </c>
      <c r="D119" t="s">
        <v>105</v>
      </c>
      <c r="E119" t="s">
        <v>483</v>
      </c>
      <c r="F119" t="s">
        <v>126</v>
      </c>
      <c r="G119">
        <v>1</v>
      </c>
      <c r="H119" t="s">
        <v>45</v>
      </c>
      <c r="I119">
        <v>0</v>
      </c>
    </row>
    <row r="120" spans="1:9" ht="21.95" customHeight="1">
      <c r="A120" t="s">
        <v>336</v>
      </c>
      <c r="B120" t="s">
        <v>484</v>
      </c>
      <c r="C120" t="s">
        <v>104</v>
      </c>
      <c r="D120" t="s">
        <v>105</v>
      </c>
      <c r="E120" t="s">
        <v>483</v>
      </c>
      <c r="F120" t="s">
        <v>126</v>
      </c>
      <c r="G120">
        <v>1</v>
      </c>
      <c r="H120" t="s">
        <v>45</v>
      </c>
      <c r="I120">
        <v>0</v>
      </c>
    </row>
    <row r="121" spans="1:9" ht="21.95" customHeight="1">
      <c r="A121" t="s">
        <v>337</v>
      </c>
      <c r="B121" t="s">
        <v>482</v>
      </c>
      <c r="C121" t="s">
        <v>104</v>
      </c>
      <c r="D121" t="s">
        <v>105</v>
      </c>
      <c r="E121" t="s">
        <v>483</v>
      </c>
      <c r="F121" t="s">
        <v>114</v>
      </c>
      <c r="G121">
        <v>3</v>
      </c>
      <c r="H121" t="s">
        <v>338</v>
      </c>
      <c r="I121">
        <v>0</v>
      </c>
    </row>
    <row r="122" spans="1:9" ht="21.95" customHeight="1">
      <c r="A122" t="s">
        <v>339</v>
      </c>
      <c r="B122" t="s">
        <v>484</v>
      </c>
      <c r="C122" t="s">
        <v>104</v>
      </c>
      <c r="D122" t="s">
        <v>105</v>
      </c>
      <c r="E122" t="s">
        <v>483</v>
      </c>
      <c r="F122" t="s">
        <v>116</v>
      </c>
      <c r="G122">
        <v>2</v>
      </c>
      <c r="H122" t="s">
        <v>157</v>
      </c>
      <c r="I122">
        <v>0</v>
      </c>
    </row>
    <row r="123" spans="1:9" ht="21.95" customHeight="1">
      <c r="A123" t="s">
        <v>340</v>
      </c>
      <c r="B123" t="s">
        <v>484</v>
      </c>
      <c r="C123" t="s">
        <v>104</v>
      </c>
      <c r="D123" t="s">
        <v>105</v>
      </c>
      <c r="E123" t="s">
        <v>483</v>
      </c>
      <c r="F123" t="s">
        <v>114</v>
      </c>
      <c r="G123">
        <v>1</v>
      </c>
      <c r="H123" t="s">
        <v>46</v>
      </c>
      <c r="I123">
        <v>0</v>
      </c>
    </row>
    <row r="124" spans="1:9" ht="21.95" customHeight="1">
      <c r="A124" t="s">
        <v>341</v>
      </c>
      <c r="B124" t="s">
        <v>482</v>
      </c>
      <c r="C124" t="s">
        <v>125</v>
      </c>
      <c r="D124" t="s">
        <v>126</v>
      </c>
      <c r="E124" t="s">
        <v>483</v>
      </c>
      <c r="F124" t="s">
        <v>114</v>
      </c>
      <c r="G124">
        <v>4</v>
      </c>
      <c r="H124" t="s">
        <v>342</v>
      </c>
      <c r="I124">
        <v>0</v>
      </c>
    </row>
    <row r="125" spans="1:9" ht="21.95" customHeight="1">
      <c r="A125" t="s">
        <v>343</v>
      </c>
      <c r="B125" t="s">
        <v>482</v>
      </c>
      <c r="C125" t="s">
        <v>129</v>
      </c>
      <c r="D125" t="s">
        <v>130</v>
      </c>
      <c r="E125" t="s">
        <v>485</v>
      </c>
      <c r="F125" t="s">
        <v>124</v>
      </c>
      <c r="G125">
        <v>2</v>
      </c>
      <c r="H125" t="s">
        <v>344</v>
      </c>
      <c r="I125">
        <v>0</v>
      </c>
    </row>
    <row r="126" spans="1:9" ht="21.95" customHeight="1">
      <c r="A126" t="s">
        <v>345</v>
      </c>
      <c r="B126" t="s">
        <v>484</v>
      </c>
      <c r="C126" t="s">
        <v>113</v>
      </c>
      <c r="D126" t="s">
        <v>114</v>
      </c>
      <c r="E126" t="s">
        <v>483</v>
      </c>
      <c r="F126" t="s">
        <v>122</v>
      </c>
      <c r="G126">
        <v>2</v>
      </c>
      <c r="H126" t="s">
        <v>346</v>
      </c>
      <c r="I126">
        <v>0</v>
      </c>
    </row>
    <row r="127" spans="1:9" ht="21.95" customHeight="1">
      <c r="A127" t="s">
        <v>347</v>
      </c>
      <c r="B127" t="s">
        <v>482</v>
      </c>
      <c r="C127" t="s">
        <v>104</v>
      </c>
      <c r="D127" t="s">
        <v>105</v>
      </c>
      <c r="E127" t="s">
        <v>483</v>
      </c>
      <c r="F127" t="s">
        <v>116</v>
      </c>
      <c r="G127">
        <v>1</v>
      </c>
      <c r="H127" t="s">
        <v>51</v>
      </c>
      <c r="I127">
        <v>0</v>
      </c>
    </row>
    <row r="128" spans="1:9" ht="21.95" customHeight="1">
      <c r="A128" t="s">
        <v>347</v>
      </c>
      <c r="B128" t="s">
        <v>484</v>
      </c>
      <c r="C128" t="s">
        <v>104</v>
      </c>
      <c r="D128" t="s">
        <v>105</v>
      </c>
      <c r="E128" t="s">
        <v>483</v>
      </c>
      <c r="F128" t="s">
        <v>116</v>
      </c>
      <c r="G128">
        <v>1</v>
      </c>
      <c r="H128" t="s">
        <v>51</v>
      </c>
      <c r="I128">
        <v>0</v>
      </c>
    </row>
    <row r="129" spans="1:9" ht="21.95" customHeight="1">
      <c r="A129" t="s">
        <v>348</v>
      </c>
      <c r="B129" t="s">
        <v>484</v>
      </c>
      <c r="C129" t="s">
        <v>113</v>
      </c>
      <c r="D129" t="s">
        <v>114</v>
      </c>
      <c r="E129" t="s">
        <v>483</v>
      </c>
      <c r="F129" t="s">
        <v>105</v>
      </c>
      <c r="G129">
        <v>1</v>
      </c>
      <c r="H129" t="s">
        <v>38</v>
      </c>
      <c r="I129">
        <v>0</v>
      </c>
    </row>
    <row r="130" spans="1:9" ht="21.95" customHeight="1">
      <c r="A130" t="s">
        <v>349</v>
      </c>
      <c r="B130" t="s">
        <v>482</v>
      </c>
      <c r="C130" t="s">
        <v>125</v>
      </c>
      <c r="D130" t="s">
        <v>126</v>
      </c>
      <c r="E130" t="s">
        <v>483</v>
      </c>
      <c r="F130" t="s">
        <v>128</v>
      </c>
      <c r="G130">
        <v>3</v>
      </c>
      <c r="H130" t="s">
        <v>350</v>
      </c>
      <c r="I130">
        <v>0</v>
      </c>
    </row>
    <row r="131" spans="1:9" ht="21.95" customHeight="1">
      <c r="A131" t="s">
        <v>349</v>
      </c>
      <c r="B131" t="s">
        <v>484</v>
      </c>
      <c r="C131" t="s">
        <v>125</v>
      </c>
      <c r="D131" t="s">
        <v>126</v>
      </c>
      <c r="E131" t="s">
        <v>483</v>
      </c>
      <c r="F131" t="s">
        <v>128</v>
      </c>
      <c r="G131">
        <v>3</v>
      </c>
      <c r="H131" t="s">
        <v>350</v>
      </c>
      <c r="I131">
        <v>0</v>
      </c>
    </row>
    <row r="132" spans="1:9" ht="21.95" customHeight="1">
      <c r="A132" t="s">
        <v>351</v>
      </c>
      <c r="B132" t="s">
        <v>484</v>
      </c>
      <c r="C132" t="s">
        <v>104</v>
      </c>
      <c r="D132" t="s">
        <v>105</v>
      </c>
      <c r="E132" t="s">
        <v>483</v>
      </c>
      <c r="F132" t="s">
        <v>128</v>
      </c>
      <c r="G132">
        <v>3</v>
      </c>
      <c r="H132" t="s">
        <v>338</v>
      </c>
      <c r="I132">
        <v>0</v>
      </c>
    </row>
    <row r="133" spans="1:9" ht="21.95" customHeight="1">
      <c r="A133" t="s">
        <v>352</v>
      </c>
      <c r="B133" t="s">
        <v>482</v>
      </c>
      <c r="C133" t="s">
        <v>104</v>
      </c>
      <c r="D133" t="s">
        <v>105</v>
      </c>
      <c r="E133" t="s">
        <v>483</v>
      </c>
      <c r="F133" t="s">
        <v>124</v>
      </c>
      <c r="G133">
        <v>3</v>
      </c>
      <c r="H133" t="s">
        <v>353</v>
      </c>
      <c r="I133">
        <v>0</v>
      </c>
    </row>
    <row r="134" spans="1:9" ht="21.95" customHeight="1">
      <c r="A134" t="s">
        <v>354</v>
      </c>
      <c r="B134" t="s">
        <v>484</v>
      </c>
      <c r="C134" t="s">
        <v>121</v>
      </c>
      <c r="D134" t="s">
        <v>122</v>
      </c>
      <c r="E134" t="s">
        <v>483</v>
      </c>
      <c r="F134" t="s">
        <v>105</v>
      </c>
      <c r="G134">
        <v>1</v>
      </c>
      <c r="H134" t="s">
        <v>51</v>
      </c>
      <c r="I134">
        <v>0</v>
      </c>
    </row>
    <row r="135" spans="1:9" ht="21.95" customHeight="1">
      <c r="A135" t="s">
        <v>355</v>
      </c>
      <c r="B135" t="s">
        <v>484</v>
      </c>
      <c r="C135" t="s">
        <v>104</v>
      </c>
      <c r="D135" t="s">
        <v>105</v>
      </c>
      <c r="E135" t="s">
        <v>485</v>
      </c>
      <c r="F135" t="s">
        <v>109</v>
      </c>
      <c r="G135">
        <v>2</v>
      </c>
      <c r="H135" t="s">
        <v>356</v>
      </c>
      <c r="I135">
        <v>0</v>
      </c>
    </row>
    <row r="136" spans="1:9" ht="21.95" customHeight="1">
      <c r="A136" t="s">
        <v>357</v>
      </c>
      <c r="B136" t="s">
        <v>484</v>
      </c>
      <c r="C136" t="s">
        <v>104</v>
      </c>
      <c r="D136" t="s">
        <v>105</v>
      </c>
      <c r="E136" t="s">
        <v>483</v>
      </c>
      <c r="F136" t="s">
        <v>124</v>
      </c>
      <c r="G136">
        <v>1</v>
      </c>
      <c r="H136" t="s">
        <v>51</v>
      </c>
      <c r="I136">
        <v>0</v>
      </c>
    </row>
    <row r="137" spans="1:9" ht="21.95" customHeight="1">
      <c r="A137" t="s">
        <v>358</v>
      </c>
      <c r="B137" t="s">
        <v>482</v>
      </c>
      <c r="C137" t="s">
        <v>106</v>
      </c>
      <c r="D137" t="s">
        <v>107</v>
      </c>
      <c r="E137" t="s">
        <v>483</v>
      </c>
      <c r="F137" t="s">
        <v>105</v>
      </c>
      <c r="G137">
        <v>3</v>
      </c>
      <c r="H137" t="s">
        <v>359</v>
      </c>
      <c r="I137">
        <v>0</v>
      </c>
    </row>
    <row r="138" spans="1:9" ht="21.95" customHeight="1">
      <c r="A138" t="s">
        <v>360</v>
      </c>
      <c r="B138" t="s">
        <v>484</v>
      </c>
      <c r="C138" t="s">
        <v>104</v>
      </c>
      <c r="D138" t="s">
        <v>105</v>
      </c>
      <c r="E138" t="s">
        <v>485</v>
      </c>
      <c r="F138" t="s">
        <v>126</v>
      </c>
      <c r="G138">
        <v>3</v>
      </c>
      <c r="H138" t="s">
        <v>361</v>
      </c>
      <c r="I138">
        <v>0</v>
      </c>
    </row>
    <row r="139" spans="1:9" ht="21.95" customHeight="1">
      <c r="A139" t="s">
        <v>362</v>
      </c>
      <c r="B139" t="s">
        <v>482</v>
      </c>
      <c r="C139" t="s">
        <v>113</v>
      </c>
      <c r="D139" t="s">
        <v>114</v>
      </c>
      <c r="E139" t="s">
        <v>483</v>
      </c>
      <c r="F139" t="s">
        <v>105</v>
      </c>
      <c r="G139">
        <v>2</v>
      </c>
      <c r="H139" t="s">
        <v>157</v>
      </c>
      <c r="I139">
        <v>0</v>
      </c>
    </row>
    <row r="140" spans="1:9" ht="21.95" customHeight="1">
      <c r="A140" t="s">
        <v>367</v>
      </c>
      <c r="B140" t="s">
        <v>484</v>
      </c>
      <c r="C140" t="s">
        <v>125</v>
      </c>
      <c r="D140" t="s">
        <v>126</v>
      </c>
      <c r="E140" t="s">
        <v>485</v>
      </c>
      <c r="F140" t="s">
        <v>128</v>
      </c>
      <c r="G140">
        <v>2</v>
      </c>
      <c r="H140" t="s">
        <v>366</v>
      </c>
      <c r="I140">
        <v>0</v>
      </c>
    </row>
    <row r="141" spans="1:9" ht="21.95" customHeight="1">
      <c r="A141" t="s">
        <v>369</v>
      </c>
      <c r="B141" t="s">
        <v>482</v>
      </c>
      <c r="C141" t="s">
        <v>108</v>
      </c>
      <c r="D141" t="s">
        <v>109</v>
      </c>
      <c r="E141" t="s">
        <v>483</v>
      </c>
      <c r="F141" t="s">
        <v>105</v>
      </c>
      <c r="G141">
        <v>1</v>
      </c>
      <c r="H141" t="s">
        <v>46</v>
      </c>
      <c r="I141">
        <v>0</v>
      </c>
    </row>
    <row r="142" spans="1:9" ht="21.95" customHeight="1">
      <c r="A142" t="s">
        <v>370</v>
      </c>
      <c r="B142" t="s">
        <v>482</v>
      </c>
      <c r="C142" t="s">
        <v>117</v>
      </c>
      <c r="D142" t="s">
        <v>118</v>
      </c>
      <c r="E142" t="s">
        <v>483</v>
      </c>
      <c r="F142" t="s">
        <v>114</v>
      </c>
      <c r="G142">
        <v>1</v>
      </c>
      <c r="H142" t="s">
        <v>52</v>
      </c>
      <c r="I142">
        <v>0</v>
      </c>
    </row>
    <row r="143" spans="1:9" ht="21.95" customHeight="1">
      <c r="A143" t="s">
        <v>371</v>
      </c>
      <c r="B143" t="s">
        <v>484</v>
      </c>
      <c r="C143" t="s">
        <v>104</v>
      </c>
      <c r="D143" t="s">
        <v>105</v>
      </c>
      <c r="E143" t="s">
        <v>483</v>
      </c>
      <c r="F143" t="s">
        <v>107</v>
      </c>
      <c r="G143">
        <v>1</v>
      </c>
      <c r="H143" t="s">
        <v>51</v>
      </c>
      <c r="I143">
        <v>0</v>
      </c>
    </row>
    <row r="144" spans="1:9" ht="21.95" customHeight="1">
      <c r="A144" t="s">
        <v>372</v>
      </c>
      <c r="B144" t="s">
        <v>482</v>
      </c>
      <c r="C144" t="s">
        <v>129</v>
      </c>
      <c r="D144" t="s">
        <v>130</v>
      </c>
      <c r="E144" t="s">
        <v>483</v>
      </c>
      <c r="F144" t="s">
        <v>114</v>
      </c>
      <c r="G144">
        <v>3</v>
      </c>
      <c r="H144" t="s">
        <v>373</v>
      </c>
      <c r="I144">
        <v>0</v>
      </c>
    </row>
    <row r="145" spans="1:9" ht="21.95" customHeight="1">
      <c r="A145" t="s">
        <v>374</v>
      </c>
      <c r="B145" t="s">
        <v>482</v>
      </c>
      <c r="C145" t="s">
        <v>111</v>
      </c>
      <c r="D145" t="s">
        <v>112</v>
      </c>
      <c r="E145" t="s">
        <v>483</v>
      </c>
      <c r="F145" t="s">
        <v>486</v>
      </c>
      <c r="G145">
        <v>1</v>
      </c>
      <c r="H145" t="s">
        <v>51</v>
      </c>
      <c r="I145">
        <v>0</v>
      </c>
    </row>
    <row r="146" spans="1:9" ht="21.95" customHeight="1">
      <c r="A146" t="s">
        <v>375</v>
      </c>
      <c r="B146" t="s">
        <v>482</v>
      </c>
      <c r="C146" t="s">
        <v>113</v>
      </c>
      <c r="D146" t="s">
        <v>114</v>
      </c>
      <c r="E146" t="s">
        <v>483</v>
      </c>
      <c r="F146" t="s">
        <v>120</v>
      </c>
      <c r="G146">
        <v>1</v>
      </c>
      <c r="H146" t="s">
        <v>52</v>
      </c>
      <c r="I146">
        <v>0</v>
      </c>
    </row>
    <row r="147" spans="1:9" ht="21.95" customHeight="1">
      <c r="A147" t="s">
        <v>375</v>
      </c>
      <c r="B147" t="s">
        <v>484</v>
      </c>
      <c r="C147" t="s">
        <v>113</v>
      </c>
      <c r="D147" t="s">
        <v>114</v>
      </c>
      <c r="E147" t="s">
        <v>483</v>
      </c>
      <c r="F147" t="s">
        <v>122</v>
      </c>
      <c r="G147">
        <v>1</v>
      </c>
      <c r="H147" t="s">
        <v>52</v>
      </c>
      <c r="I147">
        <v>0</v>
      </c>
    </row>
    <row r="148" spans="1:9" ht="21.95" customHeight="1">
      <c r="A148" t="s">
        <v>376</v>
      </c>
      <c r="B148" t="s">
        <v>484</v>
      </c>
      <c r="C148" t="s">
        <v>125</v>
      </c>
      <c r="D148" t="s">
        <v>126</v>
      </c>
      <c r="E148" t="s">
        <v>483</v>
      </c>
      <c r="F148" t="s">
        <v>130</v>
      </c>
      <c r="G148">
        <v>1</v>
      </c>
      <c r="H148" t="s">
        <v>51</v>
      </c>
      <c r="I148">
        <v>0</v>
      </c>
    </row>
    <row r="149" spans="1:9" ht="21.95" customHeight="1">
      <c r="A149" t="s">
        <v>377</v>
      </c>
      <c r="B149" t="s">
        <v>482</v>
      </c>
      <c r="C149" t="s">
        <v>104</v>
      </c>
      <c r="D149" t="s">
        <v>105</v>
      </c>
      <c r="E149" t="s">
        <v>483</v>
      </c>
      <c r="F149" t="s">
        <v>114</v>
      </c>
      <c r="G149">
        <v>1</v>
      </c>
      <c r="H149" t="s">
        <v>46</v>
      </c>
      <c r="I149">
        <v>0</v>
      </c>
    </row>
    <row r="150" spans="1:9" ht="21.95" customHeight="1">
      <c r="A150" t="s">
        <v>378</v>
      </c>
      <c r="B150" t="s">
        <v>484</v>
      </c>
      <c r="C150" t="s">
        <v>121</v>
      </c>
      <c r="D150" t="s">
        <v>122</v>
      </c>
      <c r="E150" t="s">
        <v>483</v>
      </c>
      <c r="F150" t="s">
        <v>114</v>
      </c>
      <c r="G150">
        <v>1</v>
      </c>
      <c r="H150" t="s">
        <v>52</v>
      </c>
      <c r="I150">
        <v>0</v>
      </c>
    </row>
    <row r="151" spans="1:9" ht="21.95" customHeight="1">
      <c r="A151" t="s">
        <v>379</v>
      </c>
      <c r="B151" t="s">
        <v>482</v>
      </c>
      <c r="C151" t="s">
        <v>111</v>
      </c>
      <c r="D151" t="s">
        <v>112</v>
      </c>
      <c r="E151" t="s">
        <v>483</v>
      </c>
      <c r="F151" t="s">
        <v>486</v>
      </c>
      <c r="G151">
        <v>1</v>
      </c>
      <c r="H151" t="s">
        <v>52</v>
      </c>
      <c r="I151">
        <v>0</v>
      </c>
    </row>
    <row r="152" spans="1:9" ht="21.95" customHeight="1">
      <c r="A152" t="s">
        <v>380</v>
      </c>
      <c r="B152" t="s">
        <v>482</v>
      </c>
      <c r="C152" t="s">
        <v>113</v>
      </c>
      <c r="D152" t="s">
        <v>114</v>
      </c>
      <c r="E152" t="s">
        <v>483</v>
      </c>
      <c r="F152" t="s">
        <v>486</v>
      </c>
      <c r="G152">
        <v>1</v>
      </c>
      <c r="H152" t="s">
        <v>52</v>
      </c>
      <c r="I152">
        <v>0</v>
      </c>
    </row>
    <row r="153" spans="1:9" ht="21.95" customHeight="1">
      <c r="A153" t="s">
        <v>381</v>
      </c>
      <c r="B153" t="s">
        <v>484</v>
      </c>
      <c r="C153" t="s">
        <v>129</v>
      </c>
      <c r="D153" t="s">
        <v>130</v>
      </c>
      <c r="E153" t="s">
        <v>485</v>
      </c>
      <c r="F153" t="s">
        <v>486</v>
      </c>
      <c r="G153">
        <v>1</v>
      </c>
      <c r="H153" t="s">
        <v>52</v>
      </c>
      <c r="I153">
        <v>0</v>
      </c>
    </row>
    <row r="154" spans="1:9" ht="21.95" customHeight="1">
      <c r="A154" t="s">
        <v>382</v>
      </c>
      <c r="B154" t="s">
        <v>484</v>
      </c>
      <c r="C154" t="s">
        <v>121</v>
      </c>
      <c r="D154" t="s">
        <v>122</v>
      </c>
      <c r="E154" t="s">
        <v>483</v>
      </c>
      <c r="F154" t="s">
        <v>114</v>
      </c>
      <c r="G154">
        <v>2</v>
      </c>
      <c r="H154" t="s">
        <v>383</v>
      </c>
      <c r="I154">
        <v>0</v>
      </c>
    </row>
    <row r="155" spans="1:9" ht="21.95" customHeight="1">
      <c r="A155" t="s">
        <v>384</v>
      </c>
      <c r="B155" t="s">
        <v>482</v>
      </c>
      <c r="C155" t="s">
        <v>113</v>
      </c>
      <c r="D155" t="s">
        <v>114</v>
      </c>
      <c r="E155" t="s">
        <v>483</v>
      </c>
      <c r="F155" t="s">
        <v>130</v>
      </c>
      <c r="G155">
        <v>1</v>
      </c>
      <c r="H155" t="s">
        <v>52</v>
      </c>
      <c r="I155">
        <v>0</v>
      </c>
    </row>
    <row r="156" spans="1:9" ht="21.95" customHeight="1">
      <c r="A156" t="s">
        <v>397</v>
      </c>
      <c r="B156" t="s">
        <v>484</v>
      </c>
      <c r="C156" t="s">
        <v>121</v>
      </c>
      <c r="D156" t="s">
        <v>122</v>
      </c>
      <c r="E156" t="s">
        <v>483</v>
      </c>
      <c r="F156" t="s">
        <v>126</v>
      </c>
      <c r="G156">
        <v>1</v>
      </c>
      <c r="H156" t="s">
        <v>52</v>
      </c>
      <c r="I156">
        <v>0</v>
      </c>
    </row>
    <row r="157" spans="1:9" ht="21.95" customHeight="1">
      <c r="A157" t="s">
        <v>398</v>
      </c>
      <c r="B157" t="s">
        <v>482</v>
      </c>
      <c r="C157" t="s">
        <v>115</v>
      </c>
      <c r="D157" t="s">
        <v>116</v>
      </c>
      <c r="E157" t="s">
        <v>483</v>
      </c>
      <c r="F157" t="s">
        <v>130</v>
      </c>
      <c r="G157">
        <v>1</v>
      </c>
      <c r="H157" t="s">
        <v>52</v>
      </c>
      <c r="I157">
        <v>0</v>
      </c>
    </row>
    <row r="158" spans="1:9" ht="21.95" customHeight="1">
      <c r="A158" t="s">
        <v>399</v>
      </c>
      <c r="B158" t="s">
        <v>482</v>
      </c>
      <c r="C158" t="s">
        <v>113</v>
      </c>
      <c r="D158" t="s">
        <v>114</v>
      </c>
      <c r="E158" t="s">
        <v>483</v>
      </c>
      <c r="F158" t="s">
        <v>130</v>
      </c>
      <c r="G158">
        <v>1</v>
      </c>
      <c r="H158" t="s">
        <v>52</v>
      </c>
      <c r="I158">
        <v>0</v>
      </c>
    </row>
    <row r="159" spans="1:9" ht="21.95" customHeight="1">
      <c r="A159" t="s">
        <v>400</v>
      </c>
      <c r="B159" t="s">
        <v>482</v>
      </c>
      <c r="C159" t="s">
        <v>121</v>
      </c>
      <c r="D159" t="s">
        <v>122</v>
      </c>
      <c r="E159" t="s">
        <v>483</v>
      </c>
      <c r="F159" t="s">
        <v>114</v>
      </c>
      <c r="G159">
        <v>2</v>
      </c>
      <c r="H159" t="s">
        <v>383</v>
      </c>
      <c r="I159">
        <v>0</v>
      </c>
    </row>
    <row r="160" spans="1:9" ht="21.95" customHeight="1">
      <c r="A160" t="s">
        <v>401</v>
      </c>
      <c r="B160" t="s">
        <v>482</v>
      </c>
      <c r="C160" t="s">
        <v>113</v>
      </c>
      <c r="D160" t="s">
        <v>114</v>
      </c>
      <c r="E160" t="s">
        <v>483</v>
      </c>
      <c r="F160" t="s">
        <v>126</v>
      </c>
      <c r="G160">
        <v>2</v>
      </c>
      <c r="H160" t="s">
        <v>198</v>
      </c>
      <c r="I160">
        <v>0</v>
      </c>
    </row>
    <row r="161" spans="1:9" ht="21.95" customHeight="1">
      <c r="A161" t="s">
        <v>402</v>
      </c>
      <c r="B161" t="s">
        <v>482</v>
      </c>
      <c r="C161" t="s">
        <v>106</v>
      </c>
      <c r="D161" t="s">
        <v>107</v>
      </c>
      <c r="E161" t="s">
        <v>483</v>
      </c>
      <c r="F161" t="s">
        <v>105</v>
      </c>
      <c r="G161">
        <v>3</v>
      </c>
      <c r="H161" t="s">
        <v>359</v>
      </c>
      <c r="I161">
        <v>0</v>
      </c>
    </row>
    <row r="162" spans="1:9" ht="21.95" customHeight="1">
      <c r="A162" t="s">
        <v>403</v>
      </c>
      <c r="B162" t="s">
        <v>484</v>
      </c>
      <c r="C162" t="s">
        <v>125</v>
      </c>
      <c r="D162" t="s">
        <v>126</v>
      </c>
      <c r="E162" t="s">
        <v>483</v>
      </c>
      <c r="F162" t="s">
        <v>114</v>
      </c>
      <c r="G162">
        <v>2</v>
      </c>
      <c r="H162" t="s">
        <v>324</v>
      </c>
      <c r="I162">
        <v>0</v>
      </c>
    </row>
    <row r="163" spans="1:9" ht="21.95" customHeight="1">
      <c r="A163" t="s">
        <v>404</v>
      </c>
      <c r="B163" t="s">
        <v>482</v>
      </c>
      <c r="C163" t="s">
        <v>113</v>
      </c>
      <c r="D163" t="s">
        <v>114</v>
      </c>
      <c r="E163" t="s">
        <v>483</v>
      </c>
      <c r="F163" t="s">
        <v>116</v>
      </c>
      <c r="G163">
        <v>2</v>
      </c>
      <c r="H163" t="s">
        <v>157</v>
      </c>
      <c r="I163">
        <v>0</v>
      </c>
    </row>
    <row r="164" spans="1:9" ht="21.95" customHeight="1">
      <c r="A164" t="s">
        <v>404</v>
      </c>
      <c r="B164" t="s">
        <v>484</v>
      </c>
      <c r="C164" t="s">
        <v>113</v>
      </c>
      <c r="D164" t="s">
        <v>114</v>
      </c>
      <c r="E164" t="s">
        <v>483</v>
      </c>
      <c r="F164" t="s">
        <v>116</v>
      </c>
      <c r="G164">
        <v>2</v>
      </c>
      <c r="H164" t="s">
        <v>157</v>
      </c>
      <c r="I164">
        <v>0</v>
      </c>
    </row>
    <row r="165" spans="1:9" ht="21.95" customHeight="1">
      <c r="A165" t="s">
        <v>405</v>
      </c>
      <c r="B165" t="s">
        <v>484</v>
      </c>
      <c r="C165" t="s">
        <v>108</v>
      </c>
      <c r="D165" t="s">
        <v>109</v>
      </c>
      <c r="E165" t="s">
        <v>483</v>
      </c>
      <c r="F165" t="s">
        <v>114</v>
      </c>
      <c r="G165">
        <v>1</v>
      </c>
      <c r="H165" t="s">
        <v>43</v>
      </c>
      <c r="I165">
        <v>0</v>
      </c>
    </row>
    <row r="166" spans="1:9" ht="21.95" customHeight="1">
      <c r="A166" t="s">
        <v>406</v>
      </c>
      <c r="B166" t="s">
        <v>482</v>
      </c>
      <c r="C166" t="s">
        <v>125</v>
      </c>
      <c r="D166" t="s">
        <v>126</v>
      </c>
      <c r="E166" t="s">
        <v>483</v>
      </c>
      <c r="F166" t="s">
        <v>130</v>
      </c>
      <c r="G166">
        <v>1</v>
      </c>
      <c r="H166" t="s">
        <v>47</v>
      </c>
      <c r="I166">
        <v>0</v>
      </c>
    </row>
    <row r="167" spans="1:9" ht="21.95" customHeight="1">
      <c r="A167" t="s">
        <v>406</v>
      </c>
      <c r="B167" t="s">
        <v>484</v>
      </c>
      <c r="C167" t="s">
        <v>129</v>
      </c>
      <c r="D167" t="s">
        <v>130</v>
      </c>
      <c r="E167" t="s">
        <v>483</v>
      </c>
      <c r="F167" t="s">
        <v>126</v>
      </c>
      <c r="G167">
        <v>1</v>
      </c>
      <c r="H167" t="s">
        <v>47</v>
      </c>
      <c r="I167">
        <v>0</v>
      </c>
    </row>
    <row r="168" spans="1:9" ht="21.95" customHeight="1">
      <c r="A168" t="s">
        <v>407</v>
      </c>
      <c r="B168" t="s">
        <v>482</v>
      </c>
      <c r="C168" t="s">
        <v>104</v>
      </c>
      <c r="D168" t="s">
        <v>105</v>
      </c>
      <c r="E168" t="s">
        <v>483</v>
      </c>
      <c r="F168" t="s">
        <v>107</v>
      </c>
      <c r="G168">
        <v>4</v>
      </c>
      <c r="H168" t="s">
        <v>408</v>
      </c>
      <c r="I168">
        <v>0</v>
      </c>
    </row>
    <row r="169" spans="1:9" ht="21.95" customHeight="1">
      <c r="A169" t="s">
        <v>407</v>
      </c>
      <c r="B169" t="s">
        <v>484</v>
      </c>
      <c r="C169" t="s">
        <v>106</v>
      </c>
      <c r="D169" t="s">
        <v>107</v>
      </c>
      <c r="E169" t="s">
        <v>483</v>
      </c>
      <c r="F169" t="s">
        <v>105</v>
      </c>
      <c r="G169">
        <v>4</v>
      </c>
      <c r="H169" t="s">
        <v>408</v>
      </c>
      <c r="I169">
        <v>0</v>
      </c>
    </row>
    <row r="170" spans="1:9" ht="21.95" customHeight="1">
      <c r="A170" t="s">
        <v>409</v>
      </c>
      <c r="B170" t="s">
        <v>482</v>
      </c>
      <c r="C170" t="s">
        <v>115</v>
      </c>
      <c r="D170" t="s">
        <v>116</v>
      </c>
      <c r="E170" t="s">
        <v>483</v>
      </c>
      <c r="F170" t="s">
        <v>126</v>
      </c>
      <c r="G170">
        <v>1</v>
      </c>
      <c r="H170" t="s">
        <v>50</v>
      </c>
      <c r="I170">
        <v>0</v>
      </c>
    </row>
    <row r="171" spans="1:9" ht="21.95" customHeight="1">
      <c r="A171" t="s">
        <v>409</v>
      </c>
      <c r="B171" t="s">
        <v>484</v>
      </c>
      <c r="C171" t="s">
        <v>125</v>
      </c>
      <c r="D171" t="s">
        <v>126</v>
      </c>
      <c r="E171" t="s">
        <v>483</v>
      </c>
      <c r="F171" t="s">
        <v>116</v>
      </c>
      <c r="G171">
        <v>1</v>
      </c>
      <c r="H171" t="s">
        <v>50</v>
      </c>
      <c r="I171">
        <v>0</v>
      </c>
    </row>
    <row r="172" spans="1:9" ht="21.95" customHeight="1">
      <c r="A172" t="s">
        <v>410</v>
      </c>
      <c r="B172" t="s">
        <v>484</v>
      </c>
      <c r="C172" t="s">
        <v>113</v>
      </c>
      <c r="D172" t="s">
        <v>114</v>
      </c>
      <c r="E172" t="s">
        <v>483</v>
      </c>
      <c r="F172" t="s">
        <v>486</v>
      </c>
      <c r="G172">
        <v>1</v>
      </c>
      <c r="H172" t="s">
        <v>51</v>
      </c>
      <c r="I172">
        <v>0</v>
      </c>
    </row>
    <row r="173" spans="1:9" ht="21.95" customHeight="1">
      <c r="A173" t="s">
        <v>411</v>
      </c>
      <c r="B173" t="s">
        <v>482</v>
      </c>
      <c r="C173" t="s">
        <v>106</v>
      </c>
      <c r="D173" t="s">
        <v>107</v>
      </c>
      <c r="E173" t="s">
        <v>483</v>
      </c>
      <c r="F173" t="s">
        <v>122</v>
      </c>
      <c r="G173">
        <v>3</v>
      </c>
      <c r="H173" t="s">
        <v>412</v>
      </c>
      <c r="I173">
        <v>0</v>
      </c>
    </row>
    <row r="174" spans="1:9" ht="21.95" customHeight="1">
      <c r="A174" t="s">
        <v>411</v>
      </c>
      <c r="B174" t="s">
        <v>484</v>
      </c>
      <c r="C174" t="s">
        <v>106</v>
      </c>
      <c r="D174" t="s">
        <v>107</v>
      </c>
      <c r="E174" t="s">
        <v>483</v>
      </c>
      <c r="F174" t="s">
        <v>122</v>
      </c>
      <c r="G174">
        <v>3</v>
      </c>
      <c r="H174" t="s">
        <v>412</v>
      </c>
      <c r="I174">
        <v>0</v>
      </c>
    </row>
    <row r="175" spans="1:9" ht="21.95" customHeight="1">
      <c r="A175" t="s">
        <v>413</v>
      </c>
      <c r="B175" t="s">
        <v>484</v>
      </c>
      <c r="C175" t="s">
        <v>106</v>
      </c>
      <c r="D175" t="s">
        <v>107</v>
      </c>
      <c r="E175" t="s">
        <v>483</v>
      </c>
      <c r="F175" t="s">
        <v>114</v>
      </c>
      <c r="G175">
        <v>2</v>
      </c>
      <c r="H175" t="s">
        <v>414</v>
      </c>
      <c r="I175">
        <v>0</v>
      </c>
    </row>
    <row r="176" spans="1:9" ht="21.95" customHeight="1">
      <c r="A176" t="s">
        <v>415</v>
      </c>
      <c r="B176" t="s">
        <v>482</v>
      </c>
      <c r="C176" t="s">
        <v>115</v>
      </c>
      <c r="D176" t="s">
        <v>116</v>
      </c>
      <c r="E176" t="s">
        <v>483</v>
      </c>
      <c r="F176" t="s">
        <v>122</v>
      </c>
      <c r="G176">
        <v>4</v>
      </c>
      <c r="H176" t="s">
        <v>416</v>
      </c>
      <c r="I176">
        <v>0</v>
      </c>
    </row>
    <row r="177" spans="1:9" ht="21.95" customHeight="1">
      <c r="A177" t="s">
        <v>417</v>
      </c>
      <c r="B177" t="s">
        <v>484</v>
      </c>
      <c r="C177" t="s">
        <v>113</v>
      </c>
      <c r="D177" t="s">
        <v>114</v>
      </c>
      <c r="E177" t="s">
        <v>483</v>
      </c>
      <c r="F177" t="s">
        <v>116</v>
      </c>
      <c r="G177">
        <v>1</v>
      </c>
      <c r="H177" t="s">
        <v>45</v>
      </c>
      <c r="I177">
        <v>0</v>
      </c>
    </row>
    <row r="178" spans="1:9" ht="21.95" customHeight="1">
      <c r="A178" t="s">
        <v>418</v>
      </c>
      <c r="B178" t="s">
        <v>482</v>
      </c>
      <c r="C178" t="s">
        <v>106</v>
      </c>
      <c r="D178" t="s">
        <v>107</v>
      </c>
      <c r="E178" t="s">
        <v>483</v>
      </c>
      <c r="F178" t="s">
        <v>486</v>
      </c>
      <c r="G178">
        <v>3</v>
      </c>
      <c r="H178" t="s">
        <v>419</v>
      </c>
      <c r="I178">
        <v>0</v>
      </c>
    </row>
    <row r="179" spans="1:9" ht="21.95" customHeight="1">
      <c r="A179" t="s">
        <v>418</v>
      </c>
      <c r="B179" t="s">
        <v>484</v>
      </c>
      <c r="C179" t="s">
        <v>106</v>
      </c>
      <c r="D179" t="s">
        <v>107</v>
      </c>
      <c r="E179" t="s">
        <v>483</v>
      </c>
      <c r="F179" t="s">
        <v>105</v>
      </c>
      <c r="G179">
        <v>3</v>
      </c>
      <c r="H179" t="s">
        <v>419</v>
      </c>
      <c r="I179">
        <v>0</v>
      </c>
    </row>
    <row r="180" spans="1:9" ht="21.95" customHeight="1">
      <c r="A180" t="s">
        <v>420</v>
      </c>
      <c r="B180" t="s">
        <v>484</v>
      </c>
      <c r="C180" t="s">
        <v>106</v>
      </c>
      <c r="D180" t="s">
        <v>107</v>
      </c>
      <c r="E180" t="s">
        <v>483</v>
      </c>
      <c r="F180" t="s">
        <v>116</v>
      </c>
      <c r="G180">
        <v>4</v>
      </c>
      <c r="H180" t="s">
        <v>421</v>
      </c>
      <c r="I180">
        <v>0</v>
      </c>
    </row>
    <row r="181" spans="1:9" ht="21.95" customHeight="1">
      <c r="A181" t="s">
        <v>422</v>
      </c>
      <c r="B181" t="s">
        <v>484</v>
      </c>
      <c r="C181" t="s">
        <v>125</v>
      </c>
      <c r="D181" t="s">
        <v>126</v>
      </c>
      <c r="E181" t="s">
        <v>483</v>
      </c>
      <c r="F181" t="s">
        <v>118</v>
      </c>
      <c r="G181">
        <v>1</v>
      </c>
      <c r="H181" t="s">
        <v>47</v>
      </c>
      <c r="I181">
        <v>0</v>
      </c>
    </row>
    <row r="182" spans="1:9" ht="21.95" customHeight="1">
      <c r="A182" t="s">
        <v>423</v>
      </c>
      <c r="B182" t="s">
        <v>484</v>
      </c>
      <c r="C182" t="s">
        <v>106</v>
      </c>
      <c r="D182" t="s">
        <v>107</v>
      </c>
      <c r="E182" t="s">
        <v>483</v>
      </c>
      <c r="F182" t="s">
        <v>126</v>
      </c>
      <c r="G182">
        <v>2</v>
      </c>
      <c r="H182" t="s">
        <v>424</v>
      </c>
      <c r="I182">
        <v>0</v>
      </c>
    </row>
    <row r="183" spans="1:9" ht="21.95" customHeight="1">
      <c r="A183" t="s">
        <v>425</v>
      </c>
      <c r="B183" t="s">
        <v>482</v>
      </c>
      <c r="C183" t="s">
        <v>106</v>
      </c>
      <c r="D183" t="s">
        <v>107</v>
      </c>
      <c r="E183" t="s">
        <v>483</v>
      </c>
      <c r="F183" t="s">
        <v>114</v>
      </c>
      <c r="G183">
        <v>3</v>
      </c>
      <c r="H183" t="s">
        <v>426</v>
      </c>
      <c r="I183">
        <v>0</v>
      </c>
    </row>
    <row r="184" spans="1:9" ht="21.95" customHeight="1">
      <c r="A184" t="s">
        <v>427</v>
      </c>
      <c r="B184" t="s">
        <v>482</v>
      </c>
      <c r="C184" t="s">
        <v>106</v>
      </c>
      <c r="D184" t="s">
        <v>107</v>
      </c>
      <c r="E184" t="s">
        <v>483</v>
      </c>
      <c r="F184" t="s">
        <v>122</v>
      </c>
      <c r="G184">
        <v>3</v>
      </c>
      <c r="H184" t="s">
        <v>428</v>
      </c>
      <c r="I184">
        <v>0</v>
      </c>
    </row>
    <row r="185" spans="1:9" ht="21.95" customHeight="1">
      <c r="A185" t="s">
        <v>429</v>
      </c>
      <c r="B185" t="s">
        <v>484</v>
      </c>
      <c r="C185" t="s">
        <v>106</v>
      </c>
      <c r="D185" t="s">
        <v>107</v>
      </c>
      <c r="E185" t="s">
        <v>483</v>
      </c>
      <c r="F185" t="s">
        <v>114</v>
      </c>
      <c r="G185">
        <v>4</v>
      </c>
      <c r="H185" t="s">
        <v>430</v>
      </c>
      <c r="I185">
        <v>0</v>
      </c>
    </row>
    <row r="186" spans="1:9" ht="21.95" customHeight="1">
      <c r="A186" t="s">
        <v>431</v>
      </c>
      <c r="B186" t="s">
        <v>482</v>
      </c>
      <c r="C186" t="s">
        <v>117</v>
      </c>
      <c r="D186" t="s">
        <v>118</v>
      </c>
      <c r="E186" t="s">
        <v>483</v>
      </c>
      <c r="F186" t="s">
        <v>124</v>
      </c>
      <c r="G186">
        <v>3</v>
      </c>
      <c r="H186" t="s">
        <v>432</v>
      </c>
      <c r="I186">
        <v>0</v>
      </c>
    </row>
    <row r="187" spans="1:9" ht="21.95" customHeight="1">
      <c r="A187" t="s">
        <v>433</v>
      </c>
      <c r="B187" t="s">
        <v>484</v>
      </c>
      <c r="C187" t="s">
        <v>106</v>
      </c>
      <c r="D187" t="s">
        <v>107</v>
      </c>
      <c r="E187" t="s">
        <v>483</v>
      </c>
      <c r="F187" t="s">
        <v>114</v>
      </c>
      <c r="G187">
        <v>1</v>
      </c>
      <c r="H187" t="s">
        <v>49</v>
      </c>
      <c r="I187">
        <v>0</v>
      </c>
    </row>
    <row r="188" spans="1:9" ht="21.95" customHeight="1">
      <c r="A188" t="s">
        <v>434</v>
      </c>
      <c r="B188" t="s">
        <v>484</v>
      </c>
      <c r="C188" t="s">
        <v>115</v>
      </c>
      <c r="D188" t="s">
        <v>116</v>
      </c>
      <c r="E188" t="s">
        <v>483</v>
      </c>
      <c r="F188" t="s">
        <v>114</v>
      </c>
      <c r="G188">
        <v>3</v>
      </c>
      <c r="H188" t="s">
        <v>435</v>
      </c>
      <c r="I188">
        <v>0</v>
      </c>
    </row>
    <row r="189" spans="1:9" ht="21.95" customHeight="1">
      <c r="A189" t="s">
        <v>436</v>
      </c>
      <c r="B189" t="s">
        <v>484</v>
      </c>
      <c r="C189" t="s">
        <v>119</v>
      </c>
      <c r="D189" t="s">
        <v>120</v>
      </c>
      <c r="E189" t="s">
        <v>485</v>
      </c>
      <c r="F189" t="s">
        <v>124</v>
      </c>
      <c r="G189">
        <v>1</v>
      </c>
      <c r="H189" t="s">
        <v>41</v>
      </c>
      <c r="I189">
        <v>0</v>
      </c>
    </row>
    <row r="190" spans="1:9" ht="21.95" customHeight="1">
      <c r="A190" t="s">
        <v>437</v>
      </c>
      <c r="B190" t="s">
        <v>482</v>
      </c>
      <c r="C190" t="s">
        <v>106</v>
      </c>
      <c r="D190" t="s">
        <v>107</v>
      </c>
      <c r="E190" t="s">
        <v>483</v>
      </c>
      <c r="F190" t="s">
        <v>114</v>
      </c>
      <c r="G190">
        <v>4</v>
      </c>
      <c r="H190" t="s">
        <v>438</v>
      </c>
      <c r="I190">
        <v>0</v>
      </c>
    </row>
    <row r="191" spans="1:9" ht="21.95" customHeight="1">
      <c r="A191" t="s">
        <v>439</v>
      </c>
      <c r="B191" t="s">
        <v>484</v>
      </c>
      <c r="C191" t="s">
        <v>106</v>
      </c>
      <c r="D191" t="s">
        <v>107</v>
      </c>
      <c r="E191" t="s">
        <v>483</v>
      </c>
      <c r="F191" t="s">
        <v>116</v>
      </c>
      <c r="G191">
        <v>5</v>
      </c>
      <c r="H191" t="s">
        <v>440</v>
      </c>
      <c r="I191">
        <v>0</v>
      </c>
    </row>
    <row r="192" spans="1:9" ht="21.95" customHeight="1">
      <c r="A192" t="s">
        <v>441</v>
      </c>
      <c r="B192" t="s">
        <v>482</v>
      </c>
      <c r="C192" t="s">
        <v>106</v>
      </c>
      <c r="D192" t="s">
        <v>107</v>
      </c>
      <c r="E192" t="s">
        <v>483</v>
      </c>
      <c r="F192" t="s">
        <v>114</v>
      </c>
      <c r="G192">
        <v>4</v>
      </c>
      <c r="H192" t="s">
        <v>442</v>
      </c>
      <c r="I192">
        <v>0</v>
      </c>
    </row>
    <row r="193" spans="1:9" ht="21.95" customHeight="1">
      <c r="A193" t="s">
        <v>441</v>
      </c>
      <c r="B193" t="s">
        <v>484</v>
      </c>
      <c r="C193" t="s">
        <v>106</v>
      </c>
      <c r="D193" t="s">
        <v>107</v>
      </c>
      <c r="E193" t="s">
        <v>483</v>
      </c>
      <c r="F193" t="s">
        <v>118</v>
      </c>
      <c r="G193">
        <v>4</v>
      </c>
      <c r="H193" t="s">
        <v>442</v>
      </c>
      <c r="I193">
        <v>0</v>
      </c>
    </row>
    <row r="194" spans="1:9" ht="21.95" customHeight="1">
      <c r="A194" t="s">
        <v>443</v>
      </c>
      <c r="B194" t="s">
        <v>482</v>
      </c>
      <c r="C194" t="s">
        <v>106</v>
      </c>
      <c r="D194" t="s">
        <v>107</v>
      </c>
      <c r="E194" t="s">
        <v>483</v>
      </c>
      <c r="F194" t="s">
        <v>114</v>
      </c>
      <c r="G194">
        <v>3</v>
      </c>
      <c r="H194" t="s">
        <v>444</v>
      </c>
      <c r="I194">
        <v>0</v>
      </c>
    </row>
    <row r="195" spans="1:9" ht="21.95" customHeight="1">
      <c r="A195" t="s">
        <v>445</v>
      </c>
      <c r="B195" t="s">
        <v>484</v>
      </c>
      <c r="C195" t="s">
        <v>117</v>
      </c>
      <c r="D195" t="s">
        <v>118</v>
      </c>
      <c r="E195" t="s">
        <v>483</v>
      </c>
      <c r="F195" t="s">
        <v>114</v>
      </c>
      <c r="G195">
        <v>1</v>
      </c>
      <c r="H195" t="s">
        <v>50</v>
      </c>
      <c r="I195">
        <v>0</v>
      </c>
    </row>
    <row r="196" spans="1:9" ht="21.95" customHeight="1">
      <c r="A196" t="s">
        <v>446</v>
      </c>
      <c r="B196" t="s">
        <v>482</v>
      </c>
      <c r="C196" t="s">
        <v>115</v>
      </c>
      <c r="D196" t="s">
        <v>116</v>
      </c>
      <c r="E196" t="s">
        <v>483</v>
      </c>
      <c r="F196" t="s">
        <v>114</v>
      </c>
      <c r="G196">
        <v>1</v>
      </c>
      <c r="H196" t="s">
        <v>51</v>
      </c>
      <c r="I196">
        <v>0</v>
      </c>
    </row>
    <row r="197" spans="1:9" ht="21.95" customHeight="1">
      <c r="A197" t="s">
        <v>447</v>
      </c>
      <c r="B197" t="s">
        <v>484</v>
      </c>
      <c r="C197" t="s">
        <v>106</v>
      </c>
      <c r="D197" t="s">
        <v>107</v>
      </c>
      <c r="E197" t="s">
        <v>483</v>
      </c>
      <c r="F197" t="s">
        <v>118</v>
      </c>
      <c r="G197">
        <v>1</v>
      </c>
      <c r="H197" t="s">
        <v>40</v>
      </c>
      <c r="I197">
        <v>0</v>
      </c>
    </row>
    <row r="198" spans="1:9" ht="21.95" customHeight="1">
      <c r="A198" t="s">
        <v>448</v>
      </c>
      <c r="B198" t="s">
        <v>484</v>
      </c>
      <c r="C198" t="s">
        <v>113</v>
      </c>
      <c r="D198" t="s">
        <v>114</v>
      </c>
      <c r="E198" t="s">
        <v>483</v>
      </c>
      <c r="F198" t="s">
        <v>116</v>
      </c>
      <c r="G198">
        <v>3</v>
      </c>
      <c r="H198" t="s">
        <v>449</v>
      </c>
      <c r="I198">
        <v>0</v>
      </c>
    </row>
    <row r="199" spans="1:9" ht="21.95" customHeight="1">
      <c r="A199" t="s">
        <v>450</v>
      </c>
      <c r="B199" t="s">
        <v>484</v>
      </c>
      <c r="C199" t="s">
        <v>106</v>
      </c>
      <c r="D199" t="s">
        <v>107</v>
      </c>
      <c r="E199" t="s">
        <v>483</v>
      </c>
      <c r="F199" t="s">
        <v>118</v>
      </c>
      <c r="G199">
        <v>1</v>
      </c>
      <c r="H199" t="s">
        <v>49</v>
      </c>
      <c r="I199">
        <v>0</v>
      </c>
    </row>
    <row r="200" spans="1:9" ht="21.95" customHeight="1">
      <c r="A200" t="s">
        <v>451</v>
      </c>
      <c r="B200" t="s">
        <v>482</v>
      </c>
      <c r="C200" t="s">
        <v>106</v>
      </c>
      <c r="D200" t="s">
        <v>107</v>
      </c>
      <c r="E200" t="s">
        <v>483</v>
      </c>
      <c r="F200" t="s">
        <v>116</v>
      </c>
      <c r="G200">
        <v>3</v>
      </c>
      <c r="H200" t="s">
        <v>452</v>
      </c>
      <c r="I200">
        <v>0</v>
      </c>
    </row>
    <row r="201" spans="1:9" ht="21.95" customHeight="1">
      <c r="A201" t="s">
        <v>453</v>
      </c>
      <c r="B201" t="s">
        <v>484</v>
      </c>
      <c r="C201" t="s">
        <v>113</v>
      </c>
      <c r="D201" t="s">
        <v>114</v>
      </c>
      <c r="E201" t="s">
        <v>483</v>
      </c>
      <c r="F201" t="s">
        <v>116</v>
      </c>
      <c r="G201">
        <v>4</v>
      </c>
      <c r="H201" t="s">
        <v>454</v>
      </c>
      <c r="I201">
        <v>0</v>
      </c>
    </row>
    <row r="202" spans="1:9" ht="21.95" customHeight="1">
      <c r="A202" t="s">
        <v>455</v>
      </c>
      <c r="B202" t="s">
        <v>482</v>
      </c>
      <c r="C202" t="s">
        <v>113</v>
      </c>
      <c r="D202" t="s">
        <v>114</v>
      </c>
      <c r="E202" t="s">
        <v>483</v>
      </c>
      <c r="F202" t="s">
        <v>116</v>
      </c>
      <c r="G202">
        <v>4</v>
      </c>
      <c r="H202" t="s">
        <v>456</v>
      </c>
      <c r="I202">
        <v>0</v>
      </c>
    </row>
    <row r="203" spans="1:9" ht="21.95" customHeight="1">
      <c r="A203" t="s">
        <v>457</v>
      </c>
      <c r="B203" t="s">
        <v>482</v>
      </c>
      <c r="C203" t="s">
        <v>106</v>
      </c>
      <c r="D203" t="s">
        <v>107</v>
      </c>
      <c r="E203" t="s">
        <v>483</v>
      </c>
      <c r="F203" t="s">
        <v>126</v>
      </c>
      <c r="G203">
        <v>3</v>
      </c>
      <c r="H203" t="s">
        <v>458</v>
      </c>
      <c r="I203">
        <v>0</v>
      </c>
    </row>
    <row r="204" spans="1:9" ht="21.95" customHeight="1">
      <c r="A204" t="s">
        <v>459</v>
      </c>
      <c r="B204" t="s">
        <v>482</v>
      </c>
      <c r="C204" t="s">
        <v>127</v>
      </c>
      <c r="D204" t="s">
        <v>128</v>
      </c>
      <c r="E204" t="s">
        <v>483</v>
      </c>
      <c r="F204" t="s">
        <v>486</v>
      </c>
      <c r="G204">
        <v>1</v>
      </c>
      <c r="H204" t="s">
        <v>52</v>
      </c>
      <c r="I204">
        <v>0</v>
      </c>
    </row>
    <row r="205" spans="1:9" ht="21.95" customHeight="1">
      <c r="A205" t="s">
        <v>460</v>
      </c>
      <c r="B205" t="s">
        <v>482</v>
      </c>
      <c r="C205" t="s">
        <v>115</v>
      </c>
      <c r="D205" t="s">
        <v>116</v>
      </c>
      <c r="E205" t="s">
        <v>483</v>
      </c>
      <c r="F205" t="s">
        <v>126</v>
      </c>
      <c r="G205">
        <v>2</v>
      </c>
      <c r="H205" t="s">
        <v>461</v>
      </c>
      <c r="I205">
        <v>0</v>
      </c>
    </row>
    <row r="206" spans="1:9" ht="21.95" customHeight="1">
      <c r="A206" t="s">
        <v>462</v>
      </c>
      <c r="B206" t="s">
        <v>482</v>
      </c>
      <c r="C206" t="s">
        <v>106</v>
      </c>
      <c r="D206" t="s">
        <v>107</v>
      </c>
      <c r="E206" t="s">
        <v>483</v>
      </c>
      <c r="F206" t="s">
        <v>120</v>
      </c>
      <c r="G206">
        <v>5</v>
      </c>
      <c r="H206" t="s">
        <v>463</v>
      </c>
      <c r="I206">
        <v>0</v>
      </c>
    </row>
    <row r="207" spans="1:9" ht="21.95" customHeight="1">
      <c r="A207" t="s">
        <v>464</v>
      </c>
      <c r="B207" t="s">
        <v>482</v>
      </c>
      <c r="C207" t="s">
        <v>117</v>
      </c>
      <c r="D207" t="s">
        <v>118</v>
      </c>
      <c r="E207" t="s">
        <v>483</v>
      </c>
      <c r="F207" t="s">
        <v>124</v>
      </c>
      <c r="G207">
        <v>3</v>
      </c>
      <c r="H207" t="s">
        <v>465</v>
      </c>
      <c r="I207">
        <v>0</v>
      </c>
    </row>
    <row r="208" spans="1:9" ht="21.95" customHeight="1">
      <c r="A208" t="s">
        <v>466</v>
      </c>
      <c r="B208" t="s">
        <v>484</v>
      </c>
      <c r="C208" t="s">
        <v>106</v>
      </c>
      <c r="D208" t="s">
        <v>107</v>
      </c>
      <c r="E208" t="s">
        <v>483</v>
      </c>
      <c r="F208" t="s">
        <v>120</v>
      </c>
      <c r="G208">
        <v>2</v>
      </c>
      <c r="H208" t="s">
        <v>467</v>
      </c>
      <c r="I208">
        <v>0</v>
      </c>
    </row>
    <row r="209" spans="1:9" ht="21.95" customHeight="1">
      <c r="A209" t="s">
        <v>469</v>
      </c>
      <c r="B209" t="s">
        <v>482</v>
      </c>
      <c r="C209" t="s">
        <v>119</v>
      </c>
      <c r="D209" t="s">
        <v>120</v>
      </c>
      <c r="E209" t="s">
        <v>483</v>
      </c>
      <c r="F209" t="s">
        <v>114</v>
      </c>
      <c r="G209">
        <v>2</v>
      </c>
      <c r="H209" t="s">
        <v>470</v>
      </c>
      <c r="I209">
        <v>0</v>
      </c>
    </row>
    <row r="210" spans="1:9" ht="21.95" customHeight="1">
      <c r="A210" t="s">
        <v>471</v>
      </c>
      <c r="B210" t="s">
        <v>482</v>
      </c>
      <c r="C210" t="s">
        <v>106</v>
      </c>
      <c r="D210" t="s">
        <v>107</v>
      </c>
      <c r="E210" t="s">
        <v>483</v>
      </c>
      <c r="F210" t="s">
        <v>116</v>
      </c>
      <c r="G210">
        <v>1</v>
      </c>
      <c r="H210" t="s">
        <v>49</v>
      </c>
      <c r="I210">
        <v>0</v>
      </c>
    </row>
    <row r="211" spans="1:9" ht="21.95" customHeight="1">
      <c r="A211" t="s">
        <v>472</v>
      </c>
      <c r="B211" t="s">
        <v>482</v>
      </c>
      <c r="C211" t="s">
        <v>117</v>
      </c>
      <c r="D211" t="s">
        <v>118</v>
      </c>
      <c r="E211" t="s">
        <v>483</v>
      </c>
      <c r="F211" t="s">
        <v>116</v>
      </c>
      <c r="G211">
        <v>2</v>
      </c>
      <c r="H211" t="s">
        <v>473</v>
      </c>
      <c r="I2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5" customWidth="1"/>
    <col min="3" max="3" width="68" customWidth="1"/>
    <col min="4" max="4" width="19" customWidth="1"/>
    <col min="5" max="5" width="63" customWidth="1"/>
    <col min="6" max="6" width="73" customWidth="1"/>
  </cols>
  <sheetData>
    <row r="1" spans="1:6" ht="30" customHeight="1">
      <c r="A1" s="1" t="s">
        <v>131</v>
      </c>
      <c r="B1" s="1" t="s">
        <v>53</v>
      </c>
      <c r="C1" s="1" t="s">
        <v>487</v>
      </c>
      <c r="D1" s="1" t="s">
        <v>488</v>
      </c>
      <c r="E1" s="1" t="s">
        <v>489</v>
      </c>
      <c r="F1" s="1" t="s">
        <v>490</v>
      </c>
    </row>
    <row r="2" spans="1:6" ht="21.95" customHeight="1">
      <c r="A2" t="s">
        <v>491</v>
      </c>
      <c r="B2" t="s">
        <v>63</v>
      </c>
      <c r="C2" t="s">
        <v>64</v>
      </c>
      <c r="D2">
        <v>0</v>
      </c>
      <c r="E2" t="s">
        <v>492</v>
      </c>
      <c r="F2" t="s">
        <v>493</v>
      </c>
    </row>
    <row r="3" spans="1:6" ht="21.95" customHeight="1">
      <c r="A3" t="s">
        <v>494</v>
      </c>
      <c r="B3" t="s">
        <v>66</v>
      </c>
      <c r="C3" t="s">
        <v>67</v>
      </c>
      <c r="D3">
        <v>1</v>
      </c>
      <c r="E3" t="s">
        <v>492</v>
      </c>
      <c r="F3" t="s">
        <v>493</v>
      </c>
    </row>
    <row r="4" spans="1:6" ht="21.95" customHeight="1">
      <c r="A4" t="s">
        <v>495</v>
      </c>
      <c r="B4" t="s">
        <v>66</v>
      </c>
      <c r="C4" t="s">
        <v>67</v>
      </c>
      <c r="D4">
        <v>2</v>
      </c>
      <c r="E4" t="s">
        <v>492</v>
      </c>
      <c r="F4" t="s">
        <v>493</v>
      </c>
    </row>
    <row r="5" spans="1:6" ht="21.95" customHeight="1">
      <c r="A5" t="s">
        <v>496</v>
      </c>
      <c r="B5" t="s">
        <v>66</v>
      </c>
      <c r="C5" t="s">
        <v>67</v>
      </c>
      <c r="D5">
        <v>1</v>
      </c>
      <c r="E5" t="s">
        <v>492</v>
      </c>
      <c r="F5" t="s">
        <v>493</v>
      </c>
    </row>
    <row r="6" spans="1:6" ht="21.95" customHeight="1">
      <c r="A6" t="s">
        <v>497</v>
      </c>
      <c r="B6" t="s">
        <v>66</v>
      </c>
      <c r="C6" t="s">
        <v>67</v>
      </c>
      <c r="D6">
        <v>1</v>
      </c>
      <c r="E6" t="s">
        <v>492</v>
      </c>
      <c r="F6" t="s">
        <v>493</v>
      </c>
    </row>
    <row r="7" spans="1:6" ht="21.95" customHeight="1">
      <c r="A7" t="s">
        <v>498</v>
      </c>
      <c r="B7" t="s">
        <v>66</v>
      </c>
      <c r="C7" t="s">
        <v>67</v>
      </c>
      <c r="D7">
        <v>1</v>
      </c>
      <c r="E7" t="s">
        <v>492</v>
      </c>
      <c r="F7" t="s">
        <v>493</v>
      </c>
    </row>
    <row r="8" spans="1:6" ht="21.95" customHeight="1">
      <c r="A8" t="s">
        <v>499</v>
      </c>
      <c r="B8" t="s">
        <v>68</v>
      </c>
      <c r="C8" t="s">
        <v>69</v>
      </c>
      <c r="D8">
        <v>1</v>
      </c>
      <c r="E8" t="s">
        <v>492</v>
      </c>
      <c r="F8" t="s">
        <v>493</v>
      </c>
    </row>
    <row r="9" spans="1:6" ht="21.95" customHeight="1">
      <c r="A9" t="s">
        <v>500</v>
      </c>
      <c r="B9" t="s">
        <v>72</v>
      </c>
      <c r="C9" t="s">
        <v>73</v>
      </c>
      <c r="D9">
        <v>1</v>
      </c>
      <c r="E9" t="s">
        <v>492</v>
      </c>
      <c r="F9" t="s">
        <v>493</v>
      </c>
    </row>
    <row r="10" spans="1:6" ht="21.95" customHeight="1">
      <c r="A10" t="s">
        <v>501</v>
      </c>
      <c r="B10" t="s">
        <v>72</v>
      </c>
      <c r="C10" t="s">
        <v>73</v>
      </c>
      <c r="D10">
        <v>2</v>
      </c>
      <c r="E10" t="s">
        <v>492</v>
      </c>
      <c r="F10" t="s">
        <v>493</v>
      </c>
    </row>
    <row r="11" spans="1:6" ht="21.95" customHeight="1">
      <c r="A11" t="s">
        <v>502</v>
      </c>
      <c r="B11" t="s">
        <v>72</v>
      </c>
      <c r="C11" t="s">
        <v>73</v>
      </c>
      <c r="D11">
        <v>1</v>
      </c>
      <c r="E11" t="s">
        <v>492</v>
      </c>
      <c r="F11" t="s">
        <v>493</v>
      </c>
    </row>
    <row r="12" spans="1:6" ht="21.95" customHeight="1">
      <c r="A12" t="s">
        <v>503</v>
      </c>
      <c r="B12" t="s">
        <v>72</v>
      </c>
      <c r="C12" t="s">
        <v>73</v>
      </c>
      <c r="D12">
        <v>1</v>
      </c>
      <c r="E12" t="s">
        <v>492</v>
      </c>
      <c r="F12" t="s">
        <v>493</v>
      </c>
    </row>
    <row r="13" spans="1:6" ht="21.95" customHeight="1">
      <c r="A13" t="s">
        <v>504</v>
      </c>
      <c r="B13" t="s">
        <v>74</v>
      </c>
      <c r="C13" t="s">
        <v>75</v>
      </c>
      <c r="D13">
        <v>0</v>
      </c>
      <c r="E13" t="s">
        <v>492</v>
      </c>
      <c r="F13" t="s">
        <v>493</v>
      </c>
    </row>
    <row r="14" spans="1:6" ht="21.95" customHeight="1">
      <c r="A14" t="s">
        <v>505</v>
      </c>
      <c r="B14" t="s">
        <v>76</v>
      </c>
      <c r="C14" t="s">
        <v>77</v>
      </c>
      <c r="D14">
        <v>1</v>
      </c>
      <c r="E14" t="s">
        <v>492</v>
      </c>
      <c r="F14" t="s">
        <v>493</v>
      </c>
    </row>
    <row r="15" spans="1:6" ht="21.95" customHeight="1">
      <c r="A15" t="s">
        <v>506</v>
      </c>
      <c r="B15" t="s">
        <v>76</v>
      </c>
      <c r="C15" t="s">
        <v>77</v>
      </c>
      <c r="D15">
        <v>1</v>
      </c>
      <c r="E15" t="s">
        <v>492</v>
      </c>
      <c r="F15" t="s">
        <v>493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38" customWidth="1"/>
    <col min="2" max="2" width="112" customWidth="1"/>
  </cols>
  <sheetData>
    <row r="1" spans="1:2" ht="30" customHeight="1">
      <c r="A1" s="1" t="s">
        <v>0</v>
      </c>
      <c r="B1" s="1" t="s">
        <v>507</v>
      </c>
    </row>
    <row r="2" spans="1:2" ht="21.95" customHeight="1">
      <c r="A2" t="s">
        <v>508</v>
      </c>
      <c r="B2" t="s">
        <v>509</v>
      </c>
    </row>
    <row r="3" spans="1:2" ht="21.95" customHeight="1">
      <c r="A3" t="s">
        <v>510</v>
      </c>
      <c r="B3" t="s">
        <v>511</v>
      </c>
    </row>
    <row r="4" spans="1:2" ht="21.95" customHeight="1">
      <c r="A4" t="s">
        <v>512</v>
      </c>
      <c r="B4" t="s">
        <v>513</v>
      </c>
    </row>
    <row r="5" spans="1:2" ht="21.95" customHeight="1">
      <c r="A5" t="s">
        <v>514</v>
      </c>
      <c r="B5" t="s">
        <v>515</v>
      </c>
    </row>
    <row r="6" spans="1:2" ht="21.95" customHeight="1">
      <c r="A6" t="s">
        <v>516</v>
      </c>
      <c r="B6" t="s">
        <v>517</v>
      </c>
    </row>
    <row r="7" spans="1:2" ht="21.95" customHeight="1">
      <c r="A7" t="s">
        <v>518</v>
      </c>
      <c r="B7" t="s">
        <v>519</v>
      </c>
    </row>
    <row r="8" spans="1:2" ht="21.95" customHeight="1">
      <c r="A8" t="s">
        <v>520</v>
      </c>
      <c r="B8" t="s">
        <v>521</v>
      </c>
    </row>
    <row r="9" spans="1:2" ht="21.95" customHeight="1">
      <c r="A9" t="s">
        <v>522</v>
      </c>
      <c r="B9" t="s">
        <v>523</v>
      </c>
    </row>
    <row r="10" spans="1:2" ht="21.95" customHeight="1">
      <c r="A10" t="s">
        <v>524</v>
      </c>
      <c r="B10" t="s">
        <v>525</v>
      </c>
    </row>
    <row r="11" spans="1:2" ht="21.95" customHeight="1">
      <c r="A11" t="s">
        <v>526</v>
      </c>
      <c r="B11" t="s">
        <v>527</v>
      </c>
    </row>
    <row r="12" spans="1:2" ht="21.95" customHeight="1">
      <c r="A12" t="s">
        <v>528</v>
      </c>
      <c r="B12" t="s">
        <v>529</v>
      </c>
    </row>
    <row r="13" spans="1:2" ht="21.95" customHeight="1">
      <c r="A13" t="s">
        <v>530</v>
      </c>
      <c r="B13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THEME FREQUENCIES</vt:lpstr>
      <vt:lpstr>LDA KEY COMPARISONS</vt:lpstr>
      <vt:lpstr>LDA FULL MATRIX</vt:lpstr>
      <vt:lpstr>LDA WITHIN-TOPIC RATES</vt:lpstr>
      <vt:lpstr>GPT KEY COMPARISONS</vt:lpstr>
      <vt:lpstr>GPT FULL MATRIX</vt:lpstr>
      <vt:lpstr>231 DOCUMENT LINKAGE</vt:lpstr>
      <vt:lpstr>210 GPT ANNOTATIONS</vt:lpstr>
      <vt:lpstr>14 EXCLUDED TEXTS</vt:lpstr>
      <vt:lpstr>METHODS AND CAVEATS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　Duy Tai</cp:lastModifiedBy>
  <dcterms:modified xsi:type="dcterms:W3CDTF">2026-10-23T14:38:42Z</dcterms:modified>
</cp:coreProperties>
</file>